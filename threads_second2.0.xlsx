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k_0123\Documents\code\threads\第二篇\2.0題庫\"/>
    </mc:Choice>
  </mc:AlternateContent>
  <xr:revisionPtr revIDLastSave="0" documentId="13_ncr:1_{025BF54F-6EE2-4EA9-9572-F8FCB973BD3B}" xr6:coauthVersionLast="47" xr6:coauthVersionMax="47" xr10:uidLastSave="{00000000-0000-0000-0000-000000000000}"/>
  <bookViews>
    <workbookView xWindow="1688" yWindow="3472" windowWidth="16200" windowHeight="9308" xr2:uid="{67D8C61A-0612-4048-9B28-D16989589632}"/>
  </bookViews>
  <sheets>
    <sheet name="30題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2" l="1"/>
  <c r="O15" i="2"/>
  <c r="P15" i="2"/>
  <c r="Q15" i="2"/>
  <c r="S15" i="2"/>
  <c r="T15" i="2"/>
  <c r="U15" i="2"/>
  <c r="V15" i="2"/>
  <c r="W15" i="2"/>
  <c r="X15" i="2"/>
  <c r="Y15" i="2"/>
  <c r="Z15" i="2"/>
  <c r="L15" i="2"/>
  <c r="L4" i="2"/>
  <c r="L5" i="2"/>
  <c r="L6" i="2"/>
  <c r="L7" i="2"/>
  <c r="L8" i="2"/>
  <c r="L9" i="2"/>
  <c r="L10" i="2"/>
  <c r="L11" i="2"/>
  <c r="L12" i="2"/>
  <c r="L13" i="2"/>
  <c r="L14" i="2"/>
  <c r="L16" i="2"/>
  <c r="L17" i="2"/>
  <c r="L3" i="2"/>
  <c r="Z14" i="2"/>
  <c r="Y14" i="2"/>
  <c r="X14" i="2"/>
  <c r="W14" i="2"/>
  <c r="V14" i="2"/>
  <c r="U14" i="2"/>
  <c r="T14" i="2"/>
  <c r="S14" i="2"/>
  <c r="Q14" i="2"/>
  <c r="P14" i="2"/>
  <c r="O14" i="2"/>
  <c r="N14" i="2"/>
  <c r="Z11" i="2"/>
  <c r="Y11" i="2"/>
  <c r="X11" i="2"/>
  <c r="W11" i="2"/>
  <c r="V11" i="2"/>
  <c r="U11" i="2"/>
  <c r="T11" i="2"/>
  <c r="S11" i="2"/>
  <c r="Q11" i="2"/>
  <c r="P11" i="2"/>
  <c r="O11" i="2"/>
  <c r="N11" i="2"/>
  <c r="Z9" i="2"/>
  <c r="Y9" i="2"/>
  <c r="X9" i="2"/>
  <c r="W9" i="2"/>
  <c r="V9" i="2"/>
  <c r="U9" i="2"/>
  <c r="T9" i="2"/>
  <c r="S9" i="2"/>
  <c r="Q9" i="2"/>
  <c r="P9" i="2"/>
  <c r="O9" i="2"/>
  <c r="N9" i="2"/>
  <c r="Z17" i="2"/>
  <c r="Y17" i="2"/>
  <c r="X17" i="2"/>
  <c r="W17" i="2"/>
  <c r="V17" i="2"/>
  <c r="U17" i="2"/>
  <c r="T17" i="2"/>
  <c r="S17" i="2"/>
  <c r="Q17" i="2"/>
  <c r="P17" i="2"/>
  <c r="O17" i="2"/>
  <c r="N17" i="2"/>
  <c r="Z16" i="2"/>
  <c r="Y16" i="2"/>
  <c r="X16" i="2"/>
  <c r="W16" i="2"/>
  <c r="V16" i="2"/>
  <c r="U16" i="2"/>
  <c r="T16" i="2"/>
  <c r="S16" i="2"/>
  <c r="Q16" i="2"/>
  <c r="P16" i="2"/>
  <c r="O16" i="2"/>
  <c r="N16" i="2"/>
  <c r="Z13" i="2"/>
  <c r="Y13" i="2"/>
  <c r="X13" i="2"/>
  <c r="W13" i="2"/>
  <c r="V13" i="2"/>
  <c r="U13" i="2"/>
  <c r="T13" i="2"/>
  <c r="S13" i="2"/>
  <c r="Q13" i="2"/>
  <c r="P13" i="2"/>
  <c r="O13" i="2"/>
  <c r="N13" i="2"/>
  <c r="Z12" i="2"/>
  <c r="Y12" i="2"/>
  <c r="X12" i="2"/>
  <c r="W12" i="2"/>
  <c r="V12" i="2"/>
  <c r="U12" i="2"/>
  <c r="T12" i="2"/>
  <c r="S12" i="2"/>
  <c r="Q12" i="2"/>
  <c r="P12" i="2"/>
  <c r="O12" i="2"/>
  <c r="N12" i="2"/>
  <c r="Z10" i="2"/>
  <c r="Y10" i="2"/>
  <c r="X10" i="2"/>
  <c r="W10" i="2"/>
  <c r="V10" i="2"/>
  <c r="U10" i="2"/>
  <c r="T10" i="2"/>
  <c r="S10" i="2"/>
  <c r="Q10" i="2"/>
  <c r="P10" i="2"/>
  <c r="O10" i="2"/>
  <c r="N10" i="2"/>
  <c r="Z8" i="2"/>
  <c r="Y8" i="2"/>
  <c r="X8" i="2"/>
  <c r="W8" i="2"/>
  <c r="V8" i="2"/>
  <c r="U8" i="2"/>
  <c r="T8" i="2"/>
  <c r="S8" i="2"/>
  <c r="Q8" i="2"/>
  <c r="P8" i="2"/>
  <c r="O8" i="2"/>
  <c r="N8" i="2"/>
  <c r="Z7" i="2"/>
  <c r="Y7" i="2"/>
  <c r="X7" i="2"/>
  <c r="W7" i="2"/>
  <c r="V7" i="2"/>
  <c r="U7" i="2"/>
  <c r="T7" i="2"/>
  <c r="S7" i="2"/>
  <c r="Q7" i="2"/>
  <c r="P7" i="2"/>
  <c r="O7" i="2"/>
  <c r="N7" i="2"/>
  <c r="Z6" i="2"/>
  <c r="Y6" i="2"/>
  <c r="X6" i="2"/>
  <c r="W6" i="2"/>
  <c r="V6" i="2"/>
  <c r="U6" i="2"/>
  <c r="T6" i="2"/>
  <c r="S6" i="2"/>
  <c r="Q6" i="2"/>
  <c r="P6" i="2"/>
  <c r="O6" i="2"/>
  <c r="N6" i="2"/>
  <c r="Z5" i="2"/>
  <c r="Y5" i="2"/>
  <c r="X5" i="2"/>
  <c r="W5" i="2"/>
  <c r="V5" i="2"/>
  <c r="U5" i="2"/>
  <c r="T5" i="2"/>
  <c r="S5" i="2"/>
  <c r="Q5" i="2"/>
  <c r="P5" i="2"/>
  <c r="O5" i="2"/>
  <c r="N5" i="2"/>
  <c r="Z4" i="2"/>
  <c r="Y4" i="2"/>
  <c r="X4" i="2"/>
  <c r="W4" i="2"/>
  <c r="V4" i="2"/>
  <c r="U4" i="2"/>
  <c r="T4" i="2"/>
  <c r="S4" i="2"/>
  <c r="Q4" i="2"/>
  <c r="P4" i="2"/>
  <c r="AC15" i="2" s="1"/>
  <c r="O4" i="2"/>
  <c r="N4" i="2"/>
  <c r="Z3" i="2"/>
  <c r="Y3" i="2"/>
  <c r="X3" i="2"/>
  <c r="W3" i="2"/>
  <c r="V3" i="2"/>
  <c r="U3" i="2"/>
  <c r="T3" i="2"/>
  <c r="S3" i="2"/>
  <c r="Q3" i="2"/>
  <c r="P3" i="2"/>
  <c r="O3" i="2"/>
  <c r="N3" i="2"/>
  <c r="AD15" i="2" l="1"/>
  <c r="AB15" i="2"/>
  <c r="AA15" i="2"/>
  <c r="AC11" i="2"/>
  <c r="AC9" i="2"/>
  <c r="AA14" i="2"/>
  <c r="AA9" i="2"/>
  <c r="AA11" i="2"/>
  <c r="AC14" i="2"/>
  <c r="AD14" i="2"/>
  <c r="AB9" i="2"/>
  <c r="AB11" i="2"/>
  <c r="AB14" i="2"/>
  <c r="AD9" i="2"/>
  <c r="AD11" i="2"/>
  <c r="AA6" i="2"/>
  <c r="AK4" i="2"/>
  <c r="AL4" i="2"/>
  <c r="AB16" i="2"/>
  <c r="AM4" i="2"/>
  <c r="AL3" i="2"/>
  <c r="AI4" i="2"/>
  <c r="AC4" i="2"/>
  <c r="AD16" i="2"/>
  <c r="AC16" i="2"/>
  <c r="AD6" i="2"/>
  <c r="AB17" i="2"/>
  <c r="AN3" i="2"/>
  <c r="AN4" i="2"/>
  <c r="AC7" i="2"/>
  <c r="AM3" i="2"/>
  <c r="AI3" i="2"/>
  <c r="AJ3" i="2"/>
  <c r="AB8" i="2"/>
  <c r="AB10" i="2"/>
  <c r="AD13" i="2"/>
  <c r="AC5" i="2"/>
  <c r="AC17" i="2"/>
  <c r="AC3" i="2"/>
  <c r="AC13" i="2"/>
  <c r="AD3" i="2"/>
  <c r="AD10" i="2"/>
  <c r="AD8" i="2"/>
  <c r="AD4" i="2"/>
  <c r="AD7" i="2"/>
  <c r="AA7" i="2"/>
  <c r="AC6" i="2"/>
  <c r="AB4" i="2"/>
  <c r="AB3" i="2"/>
  <c r="AA8" i="2"/>
  <c r="AA4" i="2"/>
  <c r="AA5" i="2"/>
  <c r="AA10" i="2"/>
  <c r="AA17" i="2"/>
  <c r="AC8" i="2"/>
  <c r="AC10" i="2"/>
  <c r="AB12" i="2"/>
  <c r="AB13" i="2"/>
  <c r="AD17" i="2"/>
  <c r="AB5" i="2"/>
  <c r="AG3" i="2"/>
  <c r="AD5" i="2"/>
  <c r="AA16" i="2"/>
  <c r="AG4" i="2"/>
  <c r="AA12" i="2"/>
  <c r="AB6" i="2"/>
  <c r="AA13" i="2"/>
  <c r="AJ4" i="2"/>
  <c r="AC12" i="2"/>
  <c r="AH3" i="2"/>
  <c r="AA3" i="2"/>
  <c r="AK3" i="2"/>
  <c r="AH4" i="2"/>
  <c r="AB7" i="2"/>
  <c r="AD12" i="2"/>
  <c r="AQ4" i="2" l="1"/>
  <c r="AQ3" i="2"/>
  <c r="AO4" i="2"/>
  <c r="AO3" i="2"/>
  <c r="AP3" i="2"/>
  <c r="AP4" i="2"/>
  <c r="AR4" i="2"/>
  <c r="AR3" i="2"/>
  <c r="AT15" i="2" l="1"/>
  <c r="AU15" i="2"/>
  <c r="AV15" i="2"/>
  <c r="AW15" i="2" s="1"/>
  <c r="AT14" i="2"/>
  <c r="AU14" i="2"/>
  <c r="AU11" i="2"/>
  <c r="AU9" i="2"/>
  <c r="AT9" i="2"/>
  <c r="AT11" i="2"/>
  <c r="AT5" i="2"/>
  <c r="AU6" i="2"/>
  <c r="AU8" i="2"/>
  <c r="AT6" i="2"/>
  <c r="AU5" i="2"/>
  <c r="AU12" i="2"/>
  <c r="AT10" i="2"/>
  <c r="AU4" i="2"/>
  <c r="AU10" i="2"/>
  <c r="AT16" i="2"/>
  <c r="AU17" i="2"/>
  <c r="AU7" i="2"/>
  <c r="AU3" i="2"/>
  <c r="AT8" i="2"/>
  <c r="AT17" i="2"/>
  <c r="AU16" i="2"/>
  <c r="AT7" i="2"/>
  <c r="AT4" i="2"/>
  <c r="AT12" i="2"/>
  <c r="AT13" i="2"/>
  <c r="AT3" i="2"/>
  <c r="AU13" i="2"/>
  <c r="AV14" i="2" l="1"/>
  <c r="AV9" i="2"/>
  <c r="AV11" i="2"/>
  <c r="AV5" i="2"/>
  <c r="AV13" i="2"/>
  <c r="AV3" i="2"/>
  <c r="AV16" i="2"/>
  <c r="AV8" i="2"/>
  <c r="AV12" i="2"/>
  <c r="AV4" i="2"/>
  <c r="AV7" i="2"/>
  <c r="AV6" i="2"/>
  <c r="AV10" i="2"/>
  <c r="AV17" i="2"/>
  <c r="AW11" i="2" l="1"/>
  <c r="AW14" i="2"/>
  <c r="AW9" i="2"/>
  <c r="AW5" i="2"/>
  <c r="AW16" i="2"/>
  <c r="AW7" i="2"/>
  <c r="AW17" i="2"/>
  <c r="AW12" i="2"/>
  <c r="AW6" i="2"/>
  <c r="AW3" i="2"/>
  <c r="AW4" i="2"/>
  <c r="AW8" i="2"/>
  <c r="AW10" i="2"/>
  <c r="AW13" i="2"/>
</calcChain>
</file>

<file path=xl/sharedStrings.xml><?xml version="1.0" encoding="utf-8"?>
<sst xmlns="http://schemas.openxmlformats.org/spreadsheetml/2006/main" count="130" uniqueCount="79">
  <si>
    <t>account</t>
  </si>
  <si>
    <t>post_url</t>
  </si>
  <si>
    <t>date_iso</t>
  </si>
  <si>
    <t>text_guess</t>
  </si>
  <si>
    <t>views</t>
  </si>
  <si>
    <t>likes_guess</t>
  </si>
  <si>
    <t>Xi1</t>
    <phoneticPr fontId="18" type="noConversion"/>
  </si>
  <si>
    <t>Xi2</t>
    <phoneticPr fontId="18" type="noConversion"/>
  </si>
  <si>
    <t>Xi3</t>
  </si>
  <si>
    <t>Xi4</t>
  </si>
  <si>
    <t>Xi5</t>
  </si>
  <si>
    <t>Xi6</t>
  </si>
  <si>
    <t>Xi7</t>
  </si>
  <si>
    <t>Xi8</t>
  </si>
  <si>
    <t>Xi9</t>
  </si>
  <si>
    <t>Xi10</t>
  </si>
  <si>
    <t>Xi11</t>
  </si>
  <si>
    <t>Xi12</t>
  </si>
  <si>
    <t>標準化</t>
    <phoneticPr fontId="18" type="noConversion"/>
  </si>
  <si>
    <t>D+</t>
  </si>
  <si>
    <t>D-</t>
  </si>
  <si>
    <t>Ci</t>
    <phoneticPr fontId="18" type="noConversion"/>
  </si>
  <si>
    <t>ranking</t>
    <phoneticPr fontId="18" type="noConversion"/>
  </si>
  <si>
    <t>replies_guess</t>
    <phoneticPr fontId="18" type="noConversion"/>
  </si>
  <si>
    <t>reposts_guess</t>
    <phoneticPr fontId="18" type="noConversion"/>
  </si>
  <si>
    <t>shares_guess</t>
    <phoneticPr fontId="18" type="noConversion"/>
  </si>
  <si>
    <t>tweets per day</t>
    <phoneticPr fontId="18" type="noConversion"/>
  </si>
  <si>
    <t>Tweets in last 30 days</t>
    <phoneticPr fontId="18" type="noConversion"/>
  </si>
  <si>
    <t>last 30 days</t>
  </si>
  <si>
    <t>Num of followers</t>
    <phoneticPr fontId="18" type="noConversion"/>
  </si>
  <si>
    <t>Like per followers</t>
    <phoneticPr fontId="18" type="noConversion"/>
  </si>
  <si>
    <t>replies per followers</t>
    <phoneticPr fontId="18" type="noConversion"/>
  </si>
  <si>
    <t>reposts per followers</t>
    <phoneticPr fontId="18" type="noConversion"/>
  </si>
  <si>
    <t>shares per followers</t>
    <phoneticPr fontId="18" type="noConversion"/>
  </si>
  <si>
    <t>familymart_tw</t>
  </si>
  <si>
    <t>ikea_taiwan</t>
  </si>
  <si>
    <t>v+</t>
    <phoneticPr fontId="18" type="noConversion"/>
  </si>
  <si>
    <t>v-</t>
    <phoneticPr fontId="18" type="noConversion"/>
  </si>
  <si>
    <t>image_id</t>
    <phoneticPr fontId="18" type="noConversion"/>
  </si>
  <si>
    <t>https://www.threads.com/@familymart_tw/post/DWOu9-iEq5T</t>
  </si>
  <si>
    <r>
      <t>今天是國際小狗日
我需要你把最可愛的狗狗圖交出來</t>
    </r>
    <r>
      <rPr>
        <sz val="12"/>
        <color theme="1"/>
        <rFont val="Segoe UI Emoji"/>
        <family val="2"/>
      </rPr>
      <t>🥺</t>
    </r>
    <phoneticPr fontId="18" type="noConversion"/>
  </si>
  <si>
    <t>7eleventw</t>
    <phoneticPr fontId="18" type="noConversion"/>
  </si>
  <si>
    <t>https://www.threads.com/@7eleventw/post/DWT2c7Cj9MW</t>
  </si>
  <si>
    <r>
      <t>賀賀賀！</t>
    </r>
    <r>
      <rPr>
        <sz val="12"/>
        <color theme="1"/>
        <rFont val="Segoe UI Symbol"/>
        <family val="2"/>
      </rPr>
      <t>🎉</t>
    </r>
    <r>
      <rPr>
        <sz val="12"/>
        <color theme="1"/>
        <rFont val="新細明體"/>
        <family val="2"/>
        <charset val="136"/>
        <scheme val="minor"/>
      </rPr>
      <t xml:space="preserve">
小7開出3張千萬發票</t>
    </r>
    <r>
      <rPr>
        <sz val="12"/>
        <color theme="1"/>
        <rFont val="Segoe UI Symbol"/>
        <family val="2"/>
      </rPr>
      <t>💰</t>
    </r>
    <r>
      <rPr>
        <sz val="12"/>
        <color theme="1"/>
        <rFont val="新細明體"/>
        <family val="2"/>
        <charset val="136"/>
        <scheme val="minor"/>
      </rPr>
      <t xml:space="preserve">
最低只花39元，人生直接翻倍</t>
    </r>
    <r>
      <rPr>
        <sz val="12"/>
        <color theme="1"/>
        <rFont val="Segoe UI Symbol"/>
        <family val="2"/>
      </rPr>
      <t>✨</t>
    </r>
    <phoneticPr fontId="18" type="noConversion"/>
  </si>
  <si>
    <t>shopee_tw</t>
    <phoneticPr fontId="18" type="noConversion"/>
  </si>
  <si>
    <t>https://www.threads.com/@shopee_tw/post/DWXuouCGIiF</t>
    <phoneticPr fontId="18" type="noConversion"/>
  </si>
  <si>
    <t>撐到清明連假就走
撐到端午連假就走
撐到中秋連假就走
撐到雙十連假就走
撐到拿完年終就走
撐到過年就走</t>
    <phoneticPr fontId="18" type="noConversion"/>
  </si>
  <si>
    <t>https://www.threads.com/@shopee_tw/post/DWOgF9pmOZa</t>
    <phoneticPr fontId="18" type="noConversion"/>
  </si>
  <si>
    <r>
      <t xml:space="preserve">第一屆《誰是P人王》大賽
留言自己做過或看過最P的事
</t>
    </r>
    <r>
      <rPr>
        <sz val="12"/>
        <color theme="1"/>
        <rFont val="Segoe UI Symbol"/>
        <family val="2"/>
      </rPr>
      <t>⠀</t>
    </r>
    <r>
      <rPr>
        <sz val="12"/>
        <color theme="1"/>
        <rFont val="新細明體"/>
        <family val="2"/>
        <charset val="136"/>
        <scheme val="minor"/>
      </rPr>
      <t xml:space="preserve">
</t>
    </r>
    <r>
      <rPr>
        <sz val="12"/>
        <color theme="1"/>
        <rFont val="Segoe UI Symbol"/>
        <family val="2"/>
      </rPr>
      <t>⠀</t>
    </r>
    <r>
      <rPr>
        <sz val="12"/>
        <color theme="1"/>
        <rFont val="新細明體"/>
        <family val="2"/>
        <charset val="136"/>
        <scheme val="minor"/>
      </rPr>
      <t xml:space="preserve">
我先來：23:59:40送出報告。。</t>
    </r>
    <phoneticPr fontId="18" type="noConversion"/>
  </si>
  <si>
    <t>這是只有客家人看得懂的英文
Tell you：醬油
Get John：桔醬
Try Bob：菜包
People：蝙蝠
Phone Ban：紅粄（紅龜粿）
Threads Go：可憐
Handtrytone：鹹菜湯
Simon &amp; John：小姐妳很漂亮</t>
    <phoneticPr fontId="18" type="noConversion"/>
  </si>
  <si>
    <t>bigcity_hsinchu</t>
    <phoneticPr fontId="18" type="noConversion"/>
  </si>
  <si>
    <t>https://www.threads.com/@bigcity_hsinchu/post/DW06wZiE6IP</t>
    <phoneticPr fontId="18" type="noConversion"/>
  </si>
  <si>
    <t>https://www.threads.com/@carrefourtaiwan/post/DWwLCogEy6c</t>
  </si>
  <si>
    <t>carrefourtaiwan</t>
    <phoneticPr fontId="18" type="noConversion"/>
  </si>
  <si>
    <t>明天竟然還有一天連假，直接給到了ㄅ級分</t>
    <phoneticPr fontId="18" type="noConversion"/>
  </si>
  <si>
    <t>https://www.threads.com/@carrefourtaiwan/post/DW0BpiXkuwY</t>
    <phoneticPr fontId="18" type="noConversion"/>
  </si>
  <si>
    <t>今天是星期e
emo的e</t>
    <phoneticPr fontId="18" type="noConversion"/>
  </si>
  <si>
    <t>以為連假能脫離老闆，結果回家還要面對Baby Boss</t>
    <phoneticPr fontId="18" type="noConversion"/>
  </si>
  <si>
    <t>ikea_taiwan</t>
    <phoneticPr fontId="18" type="noConversion"/>
  </si>
  <si>
    <t>https://www.threads.com/@ikea_taiwan/post/DWp8RUGktAt</t>
  </si>
  <si>
    <t>https://www.threads.com/@ikea_taiwan/post/DWOXLh8mBSQ</t>
    <phoneticPr fontId="18" type="noConversion"/>
  </si>
  <si>
    <t>三月沒連假還能活到現在 你很棒</t>
    <phoneticPr fontId="18" type="noConversion"/>
  </si>
  <si>
    <t>pxmart</t>
    <phoneticPr fontId="18" type="noConversion"/>
  </si>
  <si>
    <t>https://www.threads.com/@pxmart/post/DWSfDO5E5Wp</t>
    <phoneticPr fontId="18" type="noConversion"/>
  </si>
  <si>
    <t>「我喜歡你」
這句話，太膚淺。
「我愛你」
這句話，太沉重。
「祝你發票中獎」
這句話，剛剛好。</t>
    <phoneticPr fontId="18" type="noConversion"/>
  </si>
  <si>
    <r>
      <t>今天我生日，可以跟我說那四個字嗎( ´</t>
    </r>
    <r>
      <rPr>
        <sz val="12"/>
        <color theme="1"/>
        <rFont val="Cambria Math"/>
        <family val="2"/>
      </rPr>
      <t>⤙</t>
    </r>
    <r>
      <rPr>
        <sz val="12"/>
        <color theme="1"/>
        <rFont val="新細明體"/>
        <family val="2"/>
        <charset val="136"/>
        <scheme val="minor"/>
      </rPr>
      <t>`</t>
    </r>
    <r>
      <rPr>
        <sz val="12"/>
        <color theme="1"/>
        <rFont val="Segoe UI Symbol"/>
        <family val="2"/>
      </rPr>
      <t>⸝⸝</t>
    </r>
    <r>
      <rPr>
        <sz val="12"/>
        <color theme="1"/>
        <rFont val="新細明體"/>
        <family val="2"/>
        <charset val="136"/>
        <scheme val="minor"/>
      </rPr>
      <t xml:space="preserve"> ) </t>
    </r>
    <phoneticPr fontId="18" type="noConversion"/>
  </si>
  <si>
    <t>https://www.threads.com/@hilife_cvs/post/DWLZwX1kc-K</t>
    <phoneticPr fontId="18" type="noConversion"/>
  </si>
  <si>
    <t>hilife_cvs</t>
    <phoneticPr fontId="18" type="noConversion"/>
  </si>
  <si>
    <t>momoshopping_</t>
    <phoneticPr fontId="18" type="noConversion"/>
  </si>
  <si>
    <t>https://www.threads.com/@momoshopping_/post/DWsahShj5_z</t>
    <phoneticPr fontId="18" type="noConversion"/>
  </si>
  <si>
    <t>今天的我 只是個259個月大的寶寶👶🏻</t>
  </si>
  <si>
    <t>poyabeauty</t>
    <phoneticPr fontId="18" type="noConversion"/>
  </si>
  <si>
    <t>本是同根生，_ _ _ _ _</t>
  </si>
  <si>
    <t>https://www.threads.com/@poyabeauty/post/DWiZ3UFmnzZ</t>
  </si>
  <si>
    <t>https://www.threads.com/@momoshopping_/post/DWv7mkEjw42</t>
  </si>
  <si>
    <t>連假即將來到最後一天
建議大家開始調整心態
例如：
從不想上班上課
調整成更不想上班上課</t>
    <phoneticPr fontId="18" type="noConversion"/>
  </si>
  <si>
    <t>skmlive</t>
  </si>
  <si>
    <t>https://www.threads.com/@skmlive/post/DWsy__uD4n6</t>
  </si>
  <si>
    <t>清明時節雨…咕嚕…咕
路上…咕嚕嚕…咕嚕
大家…平…咕嚕咕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</si>
</sst>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rgb="FF999999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Segoe UI Emoji"/>
      <family val="2"/>
    </font>
    <font>
      <sz val="12"/>
      <color theme="1"/>
      <name val="Segoe UI Symbol"/>
      <family val="2"/>
    </font>
    <font>
      <sz val="12"/>
      <color theme="1"/>
      <name val="Cambria Math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/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1" fillId="0" borderId="0" xfId="43"/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21" fillId="0" borderId="10" xfId="43" applyBorder="1"/>
    <xf numFmtId="14" fontId="0" fillId="0" borderId="10" xfId="0" applyNumberFormat="1" applyBorder="1">
      <alignment vertical="center"/>
    </xf>
    <xf numFmtId="0" fontId="20" fillId="0" borderId="10" xfId="42" applyFill="1" applyBorder="1">
      <alignment vertical="center"/>
    </xf>
    <xf numFmtId="14" fontId="20" fillId="0" borderId="10" xfId="42" applyNumberFormat="1" applyFill="1" applyBorder="1">
      <alignment vertical="center"/>
    </xf>
    <xf numFmtId="14" fontId="19" fillId="0" borderId="10" xfId="0" applyNumberFormat="1" applyFont="1" applyBorder="1">
      <alignment vertical="center"/>
    </xf>
  </cellXfs>
  <cellStyles count="44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3" xr:uid="{3D4F09F8-3826-49D5-9000-30D7AAB53A17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42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232B-2596-4218-B62D-B88C871D3135}">
  <dimension ref="A1:AX102"/>
  <sheetViews>
    <sheetView tabSelected="1" zoomScale="102" zoomScaleNormal="100" workbookViewId="0">
      <selection activeCell="G5" sqref="G5"/>
    </sheetView>
  </sheetViews>
  <sheetFormatPr defaultRowHeight="15.5" customHeight="1" x14ac:dyDescent="0.45"/>
  <cols>
    <col min="1" max="2" width="9.06640625" style="3"/>
    <col min="3" max="3" width="12.53125" style="3" customWidth="1"/>
    <col min="4" max="4" width="9.46484375" style="3" customWidth="1"/>
    <col min="5" max="9" width="9.06640625" style="3"/>
    <col min="10" max="10" width="9.06640625" style="3" customWidth="1"/>
    <col min="11" max="11" width="9.06640625" style="3"/>
    <col min="12" max="12" width="9.53125" style="6" bestFit="1" customWidth="1"/>
    <col min="13" max="45" width="9.06640625" style="3"/>
    <col min="46" max="46" width="10.6640625" style="3" bestFit="1" customWidth="1"/>
    <col min="47" max="16384" width="9.06640625" style="3"/>
  </cols>
  <sheetData>
    <row r="1" spans="1:50" ht="15.5" customHeight="1" x14ac:dyDescent="0.45"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6</v>
      </c>
      <c r="T1" s="3" t="s">
        <v>7</v>
      </c>
      <c r="U1" s="3" t="s">
        <v>8</v>
      </c>
      <c r="V1" s="3" t="s">
        <v>9</v>
      </c>
      <c r="W1" s="3" t="s">
        <v>10</v>
      </c>
      <c r="X1" s="3" t="s">
        <v>11</v>
      </c>
      <c r="Y1" s="3" t="s">
        <v>12</v>
      </c>
      <c r="Z1" s="3" t="s">
        <v>13</v>
      </c>
      <c r="AA1" s="3" t="s">
        <v>14</v>
      </c>
      <c r="AB1" s="3" t="s">
        <v>15</v>
      </c>
      <c r="AC1" s="3" t="s">
        <v>16</v>
      </c>
      <c r="AD1" s="3" t="s">
        <v>17</v>
      </c>
      <c r="AG1" s="3" t="s">
        <v>6</v>
      </c>
      <c r="AH1" s="3" t="s">
        <v>7</v>
      </c>
      <c r="AI1" s="3" t="s">
        <v>8</v>
      </c>
      <c r="AJ1" s="3" t="s">
        <v>9</v>
      </c>
      <c r="AK1" s="3" t="s">
        <v>10</v>
      </c>
      <c r="AL1" s="3" t="s">
        <v>11</v>
      </c>
      <c r="AM1" s="3" t="s">
        <v>12</v>
      </c>
      <c r="AN1" s="3" t="s">
        <v>13</v>
      </c>
      <c r="AO1" s="3" t="s">
        <v>14</v>
      </c>
      <c r="AP1" s="3" t="s">
        <v>15</v>
      </c>
      <c r="AQ1" s="3" t="s">
        <v>16</v>
      </c>
      <c r="AR1" s="3" t="s">
        <v>17</v>
      </c>
      <c r="AT1" s="3" t="s">
        <v>19</v>
      </c>
      <c r="AU1" s="3" t="s">
        <v>20</v>
      </c>
      <c r="AV1" s="4" t="s">
        <v>21</v>
      </c>
      <c r="AW1" s="3" t="s">
        <v>22</v>
      </c>
      <c r="AX1" s="3" t="s">
        <v>38</v>
      </c>
    </row>
    <row r="2" spans="1:50" ht="15.5" customHeight="1" x14ac:dyDescent="0.4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6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4" t="s">
        <v>33</v>
      </c>
      <c r="S2" s="3" t="s">
        <v>4</v>
      </c>
      <c r="T2" s="3" t="s">
        <v>5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29</v>
      </c>
      <c r="AA2" s="3" t="s">
        <v>30</v>
      </c>
      <c r="AB2" s="3" t="s">
        <v>31</v>
      </c>
      <c r="AC2" s="3" t="s">
        <v>32</v>
      </c>
      <c r="AD2" s="4" t="s">
        <v>33</v>
      </c>
      <c r="AF2"/>
      <c r="AG2" t="s">
        <v>4</v>
      </c>
      <c r="AH2" t="s">
        <v>5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N2" t="s">
        <v>29</v>
      </c>
      <c r="AO2" t="s">
        <v>30</v>
      </c>
      <c r="AP2" t="s">
        <v>31</v>
      </c>
      <c r="AQ2" t="s">
        <v>32</v>
      </c>
      <c r="AR2" s="1" t="s">
        <v>33</v>
      </c>
    </row>
    <row r="3" spans="1:50" ht="15.5" customHeight="1" x14ac:dyDescent="0.45">
      <c r="A3" s="3" t="s">
        <v>34</v>
      </c>
      <c r="B3" s="3" t="s">
        <v>39</v>
      </c>
      <c r="C3" s="6">
        <v>46104</v>
      </c>
      <c r="D3" s="4" t="s">
        <v>40</v>
      </c>
      <c r="E3" s="3">
        <v>200000</v>
      </c>
      <c r="F3" s="3">
        <v>5101</v>
      </c>
      <c r="G3" s="3">
        <v>656</v>
      </c>
      <c r="H3" s="3">
        <v>114</v>
      </c>
      <c r="I3" s="3">
        <v>1047</v>
      </c>
      <c r="J3" s="3">
        <v>5</v>
      </c>
      <c r="L3" s="6">
        <f>C3-30</f>
        <v>46074</v>
      </c>
      <c r="M3" s="3">
        <v>343000</v>
      </c>
      <c r="N3" s="3">
        <f>F3/M3</f>
        <v>1.4871720116618076E-2</v>
      </c>
      <c r="O3" s="3">
        <f>G3/M3</f>
        <v>1.9125364431486882E-3</v>
      </c>
      <c r="P3" s="3">
        <f>H3/M3</f>
        <v>3.323615160349854E-4</v>
      </c>
      <c r="Q3" s="3">
        <f>I3/M3</f>
        <v>3.0524781341107871E-3</v>
      </c>
      <c r="S3">
        <f t="shared" ref="S3:Y8" si="0">E3/SQRT(SUMSQ(E$3:E$221))</f>
        <v>0.33176049831960325</v>
      </c>
      <c r="T3">
        <f t="shared" si="0"/>
        <v>0.409148345015035</v>
      </c>
      <c r="U3">
        <f t="shared" si="0"/>
        <v>0.55872984720302576</v>
      </c>
      <c r="V3">
        <f t="shared" si="0"/>
        <v>0.1380409336763862</v>
      </c>
      <c r="W3">
        <f t="shared" si="0"/>
        <v>0.10926869853966525</v>
      </c>
      <c r="X3">
        <f t="shared" si="0"/>
        <v>0.50767308256680954</v>
      </c>
      <c r="Y3" t="e">
        <f t="shared" si="0"/>
        <v>#DIV/0!</v>
      </c>
      <c r="Z3">
        <f t="shared" ref="Z3:AD8" si="1">M3/SQRT(SUMSQ(M$3:M$221))</f>
        <v>0.4290050220881369</v>
      </c>
      <c r="AA3">
        <f t="shared" si="1"/>
        <v>6.2118360978346075E-2</v>
      </c>
      <c r="AB3">
        <f t="shared" si="1"/>
        <v>0.10583310847677281</v>
      </c>
      <c r="AC3">
        <f t="shared" si="1"/>
        <v>1.642555766865908E-2</v>
      </c>
      <c r="AD3" t="e">
        <f t="shared" si="1"/>
        <v>#REF!</v>
      </c>
      <c r="AF3" s="1" t="s">
        <v>36</v>
      </c>
      <c r="AG3">
        <f t="shared" ref="AG3:AR3" si="2">MAX(S3:S31)</f>
        <v>0.64693297172322639</v>
      </c>
      <c r="AH3">
        <f t="shared" si="2"/>
        <v>0.75902191509062455</v>
      </c>
      <c r="AI3">
        <f t="shared" si="2"/>
        <v>0.56980223746771985</v>
      </c>
      <c r="AJ3">
        <f t="shared" si="2"/>
        <v>0.98202804571534397</v>
      </c>
      <c r="AK3" t="e">
        <f t="shared" si="2"/>
        <v>#REF!</v>
      </c>
      <c r="AL3">
        <f t="shared" si="2"/>
        <v>0.50767308256680954</v>
      </c>
      <c r="AM3" t="e">
        <f t="shared" si="2"/>
        <v>#DIV/0!</v>
      </c>
      <c r="AN3">
        <f t="shared" si="2"/>
        <v>0.5053003758705753</v>
      </c>
      <c r="AO3">
        <f t="shared" si="2"/>
        <v>0.98569658547595185</v>
      </c>
      <c r="AP3">
        <f t="shared" si="2"/>
        <v>0.92319528552246</v>
      </c>
      <c r="AQ3">
        <f t="shared" si="2"/>
        <v>0.99950707734258704</v>
      </c>
      <c r="AR3" t="e">
        <f t="shared" si="2"/>
        <v>#REF!</v>
      </c>
      <c r="AT3" s="1" t="e">
        <f t="shared" ref="AT3:AT17" si="3">SQRT((S3-$AG$3)^2 + (T3-$AH$3)^2 + (U3-$AI$3)^2 + (V3-$AJ$3)^2 + (W3-$AK$3)^2 + (X3-$AL$3)^2 + (Y3-$AM$3)^2 + (Z3-$AN$3)^2 + (AA3-$AO$3)^2 + (AB3-$AP$3)^2 + (AC3-$AQ$3)^2 + (AD3-$AR$3)^2)</f>
        <v>#REF!</v>
      </c>
      <c r="AU3" t="e">
        <f t="shared" ref="AU3:AU17" si="4">SQRT((S3-$AG$4)^2 + (T3-$AH$4)^2 + (U3-$AI$4)^2 + (V3-$AJ$4)^2 + (W3-$AK$4)^2 + (X3-$AL$4)^2 + (Y3-$AM$4)^2 + (Z3-$AN$4)^2 + (AA3-$AO$4)^2 + (AB3-$AP$4)^2 + (AC3-$AQ$4)^2 + (AD3-$AR$4)^2)</f>
        <v>#REF!</v>
      </c>
      <c r="AV3" s="2" t="e">
        <f>AU3/(AT3+AU3)</f>
        <v>#REF!</v>
      </c>
      <c r="AW3" t="e">
        <f t="shared" ref="AW3:AW8" si="5">RANK(AV3,$AV$3:$AV$32,0)</f>
        <v>#REF!</v>
      </c>
      <c r="AX3" s="3">
        <v>1</v>
      </c>
    </row>
    <row r="4" spans="1:50" ht="15" customHeight="1" x14ac:dyDescent="0.45">
      <c r="A4" s="3" t="s">
        <v>41</v>
      </c>
      <c r="B4" s="3" t="s">
        <v>42</v>
      </c>
      <c r="C4" s="6">
        <v>46106</v>
      </c>
      <c r="D4" s="4" t="s">
        <v>43</v>
      </c>
      <c r="E4" s="3">
        <v>210000</v>
      </c>
      <c r="F4" s="3">
        <v>1788</v>
      </c>
      <c r="G4" s="3">
        <v>58</v>
      </c>
      <c r="H4" s="3">
        <v>4</v>
      </c>
      <c r="I4" s="3">
        <v>36</v>
      </c>
      <c r="J4" s="3">
        <v>5</v>
      </c>
      <c r="L4" s="6">
        <f t="shared" ref="L4:L17" si="6">C4-30</f>
        <v>46076</v>
      </c>
      <c r="M4" s="3">
        <v>361000</v>
      </c>
      <c r="N4" s="3">
        <f>F4/M4</f>
        <v>4.9529085872576173E-3</v>
      </c>
      <c r="O4" s="3">
        <f>G4/M4</f>
        <v>1.6066481994459833E-4</v>
      </c>
      <c r="P4" s="3">
        <f>H4/M4</f>
        <v>1.1080332409972299E-5</v>
      </c>
      <c r="Q4" s="3">
        <f>I4/M4</f>
        <v>9.9722991689750695E-5</v>
      </c>
      <c r="S4">
        <f t="shared" si="0"/>
        <v>0.34834852323558341</v>
      </c>
      <c r="T4">
        <f t="shared" si="0"/>
        <v>0.14341447576688543</v>
      </c>
      <c r="U4">
        <f t="shared" si="0"/>
        <v>4.9399895027096789E-2</v>
      </c>
      <c r="V4">
        <f t="shared" si="0"/>
        <v>4.8435415325047797E-3</v>
      </c>
      <c r="W4">
        <f t="shared" si="0"/>
        <v>3.7570899211346221E-3</v>
      </c>
      <c r="X4">
        <f t="shared" si="0"/>
        <v>0.50767308256680954</v>
      </c>
      <c r="Y4" t="e">
        <f t="shared" si="0"/>
        <v>#DIV/0!</v>
      </c>
      <c r="Z4">
        <f t="shared" si="1"/>
        <v>0.4515184051714794</v>
      </c>
      <c r="AA4">
        <f t="shared" si="1"/>
        <v>2.0688028089785225E-2</v>
      </c>
      <c r="AB4">
        <f t="shared" si="1"/>
        <v>8.8906317986830203E-3</v>
      </c>
      <c r="AC4">
        <f t="shared" si="1"/>
        <v>5.4759841379696398E-4</v>
      </c>
      <c r="AD4" t="e">
        <f t="shared" si="1"/>
        <v>#REF!</v>
      </c>
      <c r="AF4" s="1" t="s">
        <v>37</v>
      </c>
      <c r="AG4">
        <f t="shared" ref="AG4:AR4" si="7">MIN(S2:S31)</f>
        <v>7.1328507138714709E-5</v>
      </c>
      <c r="AH4">
        <f t="shared" si="7"/>
        <v>1.4437698902706585E-3</v>
      </c>
      <c r="AI4">
        <f t="shared" si="7"/>
        <v>0</v>
      </c>
      <c r="AJ4">
        <f t="shared" si="7"/>
        <v>0</v>
      </c>
      <c r="AK4" t="e">
        <f t="shared" si="7"/>
        <v>#REF!</v>
      </c>
      <c r="AL4">
        <f t="shared" si="7"/>
        <v>0.10153461651336192</v>
      </c>
      <c r="AM4" t="e">
        <f t="shared" si="7"/>
        <v>#DIV/0!</v>
      </c>
      <c r="AN4">
        <f t="shared" si="7"/>
        <v>5.0154814535668488E-2</v>
      </c>
      <c r="AO4">
        <f t="shared" si="7"/>
        <v>1.3974909820886081E-3</v>
      </c>
      <c r="AP4">
        <f t="shared" si="7"/>
        <v>0</v>
      </c>
      <c r="AQ4">
        <f t="shared" si="7"/>
        <v>0</v>
      </c>
      <c r="AR4" t="e">
        <f t="shared" si="7"/>
        <v>#REF!</v>
      </c>
      <c r="AT4" s="1" t="e">
        <f t="shared" si="3"/>
        <v>#REF!</v>
      </c>
      <c r="AU4" t="e">
        <f t="shared" si="4"/>
        <v>#REF!</v>
      </c>
      <c r="AV4" s="2" t="e">
        <f t="shared" ref="AV4:AV17" si="8">AU4/(AT4+AU4)</f>
        <v>#REF!</v>
      </c>
      <c r="AW4" t="e">
        <f t="shared" si="5"/>
        <v>#REF!</v>
      </c>
      <c r="AX4" s="3">
        <v>2</v>
      </c>
    </row>
    <row r="5" spans="1:50" ht="15" customHeight="1" x14ac:dyDescent="0.45">
      <c r="A5" s="3" t="s">
        <v>44</v>
      </c>
      <c r="B5" s="3" t="s">
        <v>45</v>
      </c>
      <c r="C5" s="6">
        <v>46108</v>
      </c>
      <c r="D5" s="4" t="s">
        <v>46</v>
      </c>
      <c r="E5" s="3">
        <v>140000</v>
      </c>
      <c r="F5" s="3">
        <v>4111</v>
      </c>
      <c r="G5" s="3">
        <v>169</v>
      </c>
      <c r="H5" s="3">
        <v>80</v>
      </c>
      <c r="I5" s="3">
        <v>611</v>
      </c>
      <c r="J5" s="3">
        <v>2</v>
      </c>
      <c r="L5" s="6">
        <f t="shared" si="6"/>
        <v>46078</v>
      </c>
      <c r="M5" s="3">
        <v>268000</v>
      </c>
      <c r="N5" s="3">
        <f t="shared" ref="N5:N17" si="9">F5/M5</f>
        <v>1.5339552238805971E-2</v>
      </c>
      <c r="O5" s="3">
        <f t="shared" ref="O5:O17" si="10">G5/M5</f>
        <v>6.3059701492537311E-4</v>
      </c>
      <c r="P5" s="3">
        <f t="shared" ref="P5:P17" si="11">H5/M5</f>
        <v>2.9850746268656717E-4</v>
      </c>
      <c r="Q5" s="3">
        <f t="shared" ref="Q5:Q17" si="12">I5/M5</f>
        <v>2.2798507462686566E-3</v>
      </c>
      <c r="S5">
        <f t="shared" si="0"/>
        <v>0.23223234882372229</v>
      </c>
      <c r="T5">
        <f t="shared" si="0"/>
        <v>0.32974100105014875</v>
      </c>
      <c r="U5">
        <f t="shared" si="0"/>
        <v>0.14394107344102339</v>
      </c>
      <c r="V5">
        <f t="shared" si="0"/>
        <v>9.687083065009558E-2</v>
      </c>
      <c r="W5">
        <f t="shared" si="0"/>
        <v>6.3766165050368168E-2</v>
      </c>
      <c r="X5">
        <f t="shared" si="0"/>
        <v>0.20306923302672383</v>
      </c>
      <c r="Y5" t="e">
        <f t="shared" si="0"/>
        <v>#DIV/0!</v>
      </c>
      <c r="Z5">
        <f t="shared" si="1"/>
        <v>0.33519925924087668</v>
      </c>
      <c r="AA5">
        <f t="shared" si="1"/>
        <v>6.4072470147658628E-2</v>
      </c>
      <c r="AB5">
        <f t="shared" si="1"/>
        <v>3.4895043451225703E-2</v>
      </c>
      <c r="AC5">
        <f t="shared" si="1"/>
        <v>1.4752464729903285E-2</v>
      </c>
      <c r="AD5" t="e">
        <f t="shared" si="1"/>
        <v>#REF!</v>
      </c>
      <c r="AT5" s="1" t="e">
        <f t="shared" si="3"/>
        <v>#REF!</v>
      </c>
      <c r="AU5" t="e">
        <f t="shared" si="4"/>
        <v>#REF!</v>
      </c>
      <c r="AV5" s="2" t="e">
        <f t="shared" si="8"/>
        <v>#REF!</v>
      </c>
      <c r="AW5" t="e">
        <f t="shared" si="5"/>
        <v>#REF!</v>
      </c>
      <c r="AX5" s="3">
        <v>3</v>
      </c>
    </row>
    <row r="6" spans="1:50" ht="15" customHeight="1" x14ac:dyDescent="0.45">
      <c r="A6" s="3" t="s">
        <v>44</v>
      </c>
      <c r="B6" s="3" t="s">
        <v>47</v>
      </c>
      <c r="C6" s="6">
        <v>46104</v>
      </c>
      <c r="D6" s="4" t="s">
        <v>48</v>
      </c>
      <c r="E6" s="3">
        <v>30000</v>
      </c>
      <c r="F6" s="3">
        <v>667</v>
      </c>
      <c r="G6" s="3">
        <v>144</v>
      </c>
      <c r="H6" s="3">
        <v>9</v>
      </c>
      <c r="I6" s="3">
        <v>32</v>
      </c>
      <c r="J6" s="3">
        <v>2</v>
      </c>
      <c r="L6" s="6">
        <f t="shared" si="6"/>
        <v>46074</v>
      </c>
      <c r="M6" s="3">
        <v>268000</v>
      </c>
      <c r="N6" s="3">
        <f t="shared" si="9"/>
        <v>2.4888059701492537E-3</v>
      </c>
      <c r="O6" s="3">
        <f t="shared" si="10"/>
        <v>5.3731343283582088E-4</v>
      </c>
      <c r="P6" s="3">
        <f t="shared" si="11"/>
        <v>3.3582089552238805E-5</v>
      </c>
      <c r="Q6" s="3">
        <f t="shared" si="12"/>
        <v>1.1940298507462687E-4</v>
      </c>
      <c r="S6">
        <f t="shared" si="0"/>
        <v>4.9764074747940493E-2</v>
      </c>
      <c r="T6">
        <f t="shared" si="0"/>
        <v>5.3499695378362737E-2</v>
      </c>
      <c r="U6">
        <f t="shared" si="0"/>
        <v>0.12264801523968857</v>
      </c>
      <c r="V6">
        <f t="shared" si="0"/>
        <v>1.0897968448135753E-2</v>
      </c>
      <c r="W6">
        <f t="shared" si="0"/>
        <v>3.3396354854529973E-3</v>
      </c>
      <c r="X6">
        <f t="shared" si="0"/>
        <v>0.20306923302672383</v>
      </c>
      <c r="Y6" t="e">
        <f t="shared" si="0"/>
        <v>#DIV/0!</v>
      </c>
      <c r="Z6">
        <f t="shared" si="1"/>
        <v>0.33519925924087668</v>
      </c>
      <c r="AA6">
        <f t="shared" si="1"/>
        <v>1.0395606321695039E-2</v>
      </c>
      <c r="AB6">
        <f t="shared" si="1"/>
        <v>2.9733054775008885E-2</v>
      </c>
      <c r="AC6">
        <f t="shared" si="1"/>
        <v>1.6596522821141196E-3</v>
      </c>
      <c r="AD6" t="e">
        <f t="shared" si="1"/>
        <v>#REF!</v>
      </c>
      <c r="AT6" s="1" t="e">
        <f t="shared" si="3"/>
        <v>#REF!</v>
      </c>
      <c r="AU6" t="e">
        <f t="shared" si="4"/>
        <v>#REF!</v>
      </c>
      <c r="AV6" s="2" t="e">
        <f t="shared" si="8"/>
        <v>#REF!</v>
      </c>
      <c r="AW6" t="e">
        <f t="shared" si="5"/>
        <v>#REF!</v>
      </c>
      <c r="AX6" s="3">
        <v>4</v>
      </c>
    </row>
    <row r="7" spans="1:50" ht="15" customHeight="1" x14ac:dyDescent="0.45">
      <c r="A7" s="3" t="s">
        <v>50</v>
      </c>
      <c r="B7" s="3" t="s">
        <v>51</v>
      </c>
      <c r="C7" s="6">
        <v>46119</v>
      </c>
      <c r="D7" s="4" t="s">
        <v>49</v>
      </c>
      <c r="E7" s="3">
        <v>390000</v>
      </c>
      <c r="F7" s="3">
        <v>9463</v>
      </c>
      <c r="G7" s="3">
        <v>669</v>
      </c>
      <c r="H7" s="3">
        <v>811</v>
      </c>
      <c r="I7" s="3">
        <v>9502</v>
      </c>
      <c r="J7" s="3">
        <v>1</v>
      </c>
      <c r="L7" s="6">
        <f t="shared" si="6"/>
        <v>46089</v>
      </c>
      <c r="M7" s="3">
        <v>40100</v>
      </c>
      <c r="N7" s="3">
        <f t="shared" si="9"/>
        <v>0.2359850374064838</v>
      </c>
      <c r="O7" s="3">
        <f t="shared" si="10"/>
        <v>1.6683291770573566E-2</v>
      </c>
      <c r="P7" s="3">
        <f t="shared" si="11"/>
        <v>2.0224438902743141E-2</v>
      </c>
      <c r="Q7" s="3">
        <f t="shared" si="12"/>
        <v>0.2369576059850374</v>
      </c>
      <c r="S7">
        <f t="shared" si="0"/>
        <v>0.64693297172322639</v>
      </c>
      <c r="T7">
        <f t="shared" si="0"/>
        <v>0.75902191509062455</v>
      </c>
      <c r="U7">
        <f t="shared" si="0"/>
        <v>0.56980223746771985</v>
      </c>
      <c r="V7">
        <f t="shared" si="0"/>
        <v>0.98202804571534397</v>
      </c>
      <c r="W7">
        <f t="shared" si="0"/>
        <v>0.99166301196169937</v>
      </c>
      <c r="X7">
        <f t="shared" si="0"/>
        <v>0.10153461651336192</v>
      </c>
      <c r="Y7" t="e">
        <f t="shared" si="0"/>
        <v>#DIV/0!</v>
      </c>
      <c r="Z7">
        <f t="shared" si="1"/>
        <v>5.0154814535668488E-2</v>
      </c>
      <c r="AA7">
        <f t="shared" si="1"/>
        <v>0.98569658547595185</v>
      </c>
      <c r="AB7">
        <f t="shared" si="1"/>
        <v>0.92319528552246</v>
      </c>
      <c r="AC7">
        <f t="shared" si="1"/>
        <v>0.99950707734258704</v>
      </c>
      <c r="AD7" t="e">
        <f t="shared" si="1"/>
        <v>#REF!</v>
      </c>
      <c r="AT7" s="1" t="e">
        <f t="shared" si="3"/>
        <v>#REF!</v>
      </c>
      <c r="AU7" t="e">
        <f t="shared" si="4"/>
        <v>#REF!</v>
      </c>
      <c r="AV7" s="2" t="e">
        <f t="shared" si="8"/>
        <v>#REF!</v>
      </c>
      <c r="AW7" t="e">
        <f t="shared" si="5"/>
        <v>#REF!</v>
      </c>
      <c r="AX7" s="3">
        <v>5</v>
      </c>
    </row>
    <row r="8" spans="1:50" ht="15" customHeight="1" x14ac:dyDescent="0.45">
      <c r="A8" s="3" t="s">
        <v>53</v>
      </c>
      <c r="B8" s="3" t="s">
        <v>52</v>
      </c>
      <c r="C8" s="6">
        <v>46117</v>
      </c>
      <c r="D8" s="4" t="s">
        <v>54</v>
      </c>
      <c r="E8" s="3">
        <v>5304</v>
      </c>
      <c r="F8" s="3">
        <v>75</v>
      </c>
      <c r="G8" s="3">
        <v>3</v>
      </c>
      <c r="H8" s="3">
        <v>0</v>
      </c>
      <c r="I8" s="3">
        <v>2</v>
      </c>
      <c r="J8" s="3">
        <v>3</v>
      </c>
      <c r="L8" s="6">
        <f t="shared" si="6"/>
        <v>46087</v>
      </c>
      <c r="M8" s="3">
        <v>86000</v>
      </c>
      <c r="N8" s="3">
        <f t="shared" si="9"/>
        <v>8.7209302325581394E-4</v>
      </c>
      <c r="O8" s="3">
        <f t="shared" si="10"/>
        <v>3.4883720930232556E-5</v>
      </c>
      <c r="P8" s="3">
        <f t="shared" si="11"/>
        <v>0</v>
      </c>
      <c r="Q8" s="3">
        <f t="shared" si="12"/>
        <v>2.3255813953488371E-5</v>
      </c>
      <c r="S8">
        <f t="shared" si="0"/>
        <v>8.798288415435878E-3</v>
      </c>
      <c r="T8">
        <f t="shared" si="0"/>
        <v>6.0157078761277445E-3</v>
      </c>
      <c r="U8">
        <f t="shared" si="0"/>
        <v>2.5551669841601785E-3</v>
      </c>
      <c r="V8">
        <f t="shared" si="0"/>
        <v>0</v>
      </c>
      <c r="W8">
        <f t="shared" si="0"/>
        <v>2.0872721784081233E-4</v>
      </c>
      <c r="X8">
        <f t="shared" si="0"/>
        <v>0.30460384954008574</v>
      </c>
      <c r="Y8" t="e">
        <f t="shared" si="0"/>
        <v>#DIV/0!</v>
      </c>
      <c r="Z8">
        <f t="shared" si="1"/>
        <v>0.10756394139819177</v>
      </c>
      <c r="AA8">
        <f t="shared" si="1"/>
        <v>3.6426848273433676E-3</v>
      </c>
      <c r="AB8">
        <f t="shared" si="1"/>
        <v>1.9303436724085225E-3</v>
      </c>
      <c r="AC8">
        <f t="shared" si="1"/>
        <v>0</v>
      </c>
      <c r="AD8" t="e">
        <f t="shared" si="1"/>
        <v>#REF!</v>
      </c>
      <c r="AT8" s="1" t="e">
        <f t="shared" si="3"/>
        <v>#REF!</v>
      </c>
      <c r="AU8" t="e">
        <f t="shared" si="4"/>
        <v>#REF!</v>
      </c>
      <c r="AV8" s="2" t="e">
        <f t="shared" si="8"/>
        <v>#REF!</v>
      </c>
      <c r="AW8" t="e">
        <f t="shared" si="5"/>
        <v>#REF!</v>
      </c>
      <c r="AX8" s="3">
        <v>6</v>
      </c>
    </row>
    <row r="9" spans="1:50" ht="18.399999999999999" customHeight="1" x14ac:dyDescent="0.45">
      <c r="A9" s="3" t="s">
        <v>53</v>
      </c>
      <c r="B9" t="s">
        <v>55</v>
      </c>
      <c r="C9" s="6">
        <v>46119</v>
      </c>
      <c r="D9" s="4" t="s">
        <v>56</v>
      </c>
      <c r="E9" s="3">
        <v>31000</v>
      </c>
      <c r="F9" s="3">
        <v>581</v>
      </c>
      <c r="G9" s="3">
        <v>45</v>
      </c>
      <c r="H9" s="3">
        <v>19</v>
      </c>
      <c r="I9" s="3">
        <v>37</v>
      </c>
      <c r="J9" s="3">
        <v>2</v>
      </c>
      <c r="L9" s="6">
        <f t="shared" si="6"/>
        <v>46089</v>
      </c>
      <c r="M9" s="3">
        <v>86000</v>
      </c>
      <c r="N9" s="3">
        <f t="shared" si="9"/>
        <v>6.7558139534883719E-3</v>
      </c>
      <c r="O9" s="3">
        <f t="shared" si="10"/>
        <v>5.2325581395348841E-4</v>
      </c>
      <c r="P9" s="3">
        <f t="shared" si="11"/>
        <v>2.2093023255813954E-4</v>
      </c>
      <c r="Q9" s="3">
        <f t="shared" si="12"/>
        <v>4.3023255813953487E-4</v>
      </c>
      <c r="S9">
        <f t="shared" ref="S9:Y9" si="13">E9/SQRT(SUMSQ(E$3:E$251))</f>
        <v>5.1422877239538506E-2</v>
      </c>
      <c r="T9">
        <f t="shared" si="13"/>
        <v>4.6601683680402926E-2</v>
      </c>
      <c r="U9">
        <f t="shared" si="13"/>
        <v>3.8327504762402681E-2</v>
      </c>
      <c r="V9">
        <f t="shared" si="13"/>
        <v>2.3006822279397703E-2</v>
      </c>
      <c r="W9">
        <f t="shared" si="13"/>
        <v>3.8614535300550284E-3</v>
      </c>
      <c r="X9">
        <f t="shared" si="13"/>
        <v>0.20306923302672383</v>
      </c>
      <c r="Y9" t="e">
        <f t="shared" si="13"/>
        <v>#DIV/0!</v>
      </c>
      <c r="Z9">
        <f>M9/SQRT(SUMSQ(M$3:M$251))</f>
        <v>0.10756394139819177</v>
      </c>
      <c r="AA9">
        <f>N9/SQRT(SUMSQ(N$3:N$251))</f>
        <v>2.8218665129153289E-2</v>
      </c>
      <c r="AB9">
        <f>O9/SQRT(SUMSQ(O$3:O$251))</f>
        <v>2.8955155086127841E-2</v>
      </c>
      <c r="AC9">
        <f>P9/SQRT(SUMSQ(P$3:P$251))</f>
        <v>1.0918539303004002E-2</v>
      </c>
      <c r="AD9" t="e">
        <f>Q9/SQRT(SUMSQ(Q$3:Q$251))</f>
        <v>#REF!</v>
      </c>
      <c r="AT9" s="1" t="e">
        <f t="shared" si="3"/>
        <v>#REF!</v>
      </c>
      <c r="AU9" t="e">
        <f t="shared" si="4"/>
        <v>#REF!</v>
      </c>
      <c r="AV9" s="2" t="e">
        <f t="shared" si="8"/>
        <v>#REF!</v>
      </c>
      <c r="AW9" t="e">
        <f>RANK(AV9,$AV$3:$AV$62,0)</f>
        <v>#REF!</v>
      </c>
      <c r="AX9" s="3">
        <v>7</v>
      </c>
    </row>
    <row r="10" spans="1:50" ht="18.399999999999999" customHeight="1" x14ac:dyDescent="0.45">
      <c r="A10" s="3" t="s">
        <v>58</v>
      </c>
      <c r="B10" s="3" t="s">
        <v>59</v>
      </c>
      <c r="C10" s="6">
        <v>46115</v>
      </c>
      <c r="D10" s="4" t="s">
        <v>57</v>
      </c>
      <c r="E10" s="3">
        <v>6738</v>
      </c>
      <c r="F10" s="3">
        <v>77</v>
      </c>
      <c r="G10" s="3">
        <v>7</v>
      </c>
      <c r="H10" s="3">
        <v>0</v>
      </c>
      <c r="I10" s="3">
        <v>1</v>
      </c>
      <c r="J10" s="3">
        <v>1</v>
      </c>
      <c r="L10" s="6">
        <f t="shared" si="6"/>
        <v>46085</v>
      </c>
      <c r="M10" s="3">
        <v>127000</v>
      </c>
      <c r="N10" s="3">
        <f t="shared" si="9"/>
        <v>6.0629921259842522E-4</v>
      </c>
      <c r="O10" s="3">
        <f t="shared" si="10"/>
        <v>5.5118110236220471E-5</v>
      </c>
      <c r="P10" s="3">
        <f t="shared" si="11"/>
        <v>0</v>
      </c>
      <c r="Q10" s="3">
        <f t="shared" si="12"/>
        <v>7.8740157480314964E-6</v>
      </c>
      <c r="S10">
        <f t="shared" ref="S10:Y10" si="14">E10/SQRT(SUMSQ(E$3:E$221))</f>
        <v>1.1177011188387435E-2</v>
      </c>
      <c r="T10">
        <f t="shared" si="14"/>
        <v>6.1761267528244838E-3</v>
      </c>
      <c r="U10">
        <f t="shared" si="14"/>
        <v>5.9620562963737496E-3</v>
      </c>
      <c r="V10">
        <f t="shared" si="14"/>
        <v>0</v>
      </c>
      <c r="W10">
        <f t="shared" si="14"/>
        <v>1.0436360892040617E-4</v>
      </c>
      <c r="X10">
        <f t="shared" si="14"/>
        <v>0.10153461651336192</v>
      </c>
      <c r="Y10" t="e">
        <f t="shared" si="14"/>
        <v>#DIV/0!</v>
      </c>
      <c r="Z10">
        <f>M10/SQRT(SUMSQ(M$3:M$221))</f>
        <v>0.15884442508802737</v>
      </c>
      <c r="AA10">
        <f>N10/SQRT(SUMSQ(N$3:N$221))</f>
        <v>2.5324786274716835E-3</v>
      </c>
      <c r="AB10">
        <f>O10/SQRT(SUMSQ(O$3:O$221))</f>
        <v>3.05004433278197E-3</v>
      </c>
      <c r="AC10">
        <f>P10/SQRT(SUMSQ(P$3:P$221))</f>
        <v>0</v>
      </c>
      <c r="AD10" t="e">
        <f>Q10/SQRT(SUMSQ(Q$3:Q$221))</f>
        <v>#REF!</v>
      </c>
      <c r="AT10" s="1" t="e">
        <f t="shared" si="3"/>
        <v>#REF!</v>
      </c>
      <c r="AU10" t="e">
        <f t="shared" si="4"/>
        <v>#REF!</v>
      </c>
      <c r="AV10" s="2" t="e">
        <f t="shared" si="8"/>
        <v>#REF!</v>
      </c>
      <c r="AW10" t="e">
        <f>RANK(AV10,$AV$3:$AV$32,0)</f>
        <v>#REF!</v>
      </c>
      <c r="AX10" s="3">
        <v>8</v>
      </c>
    </row>
    <row r="11" spans="1:50" ht="18.399999999999999" customHeight="1" x14ac:dyDescent="0.45">
      <c r="A11" t="s">
        <v>35</v>
      </c>
      <c r="B11" s="3" t="s">
        <v>60</v>
      </c>
      <c r="C11" s="6">
        <v>46104</v>
      </c>
      <c r="D11" s="4" t="s">
        <v>61</v>
      </c>
      <c r="E11" s="3">
        <v>18000</v>
      </c>
      <c r="F11" s="3">
        <v>713</v>
      </c>
      <c r="G11" s="3">
        <v>52</v>
      </c>
      <c r="H11" s="3">
        <v>38</v>
      </c>
      <c r="I11" s="3">
        <v>34</v>
      </c>
      <c r="J11" s="3">
        <v>1</v>
      </c>
      <c r="L11" s="6">
        <f t="shared" si="6"/>
        <v>46074</v>
      </c>
      <c r="M11" s="3">
        <v>127000</v>
      </c>
      <c r="N11" s="3">
        <f t="shared" si="9"/>
        <v>5.6141732283464564E-3</v>
      </c>
      <c r="O11" s="3">
        <f t="shared" si="10"/>
        <v>4.0944881889763777E-4</v>
      </c>
      <c r="P11" s="3">
        <f t="shared" si="11"/>
        <v>2.9921259842519685E-4</v>
      </c>
      <c r="Q11" s="3">
        <f t="shared" si="12"/>
        <v>2.6771653543307086E-4</v>
      </c>
      <c r="S11">
        <f t="shared" ref="S11:Y11" si="15">E11/SQRT(SUMSQ(E$3:E$251))</f>
        <v>2.9858444848764293E-2</v>
      </c>
      <c r="T11">
        <f t="shared" si="15"/>
        <v>5.7189329542387757E-2</v>
      </c>
      <c r="U11">
        <f t="shared" si="15"/>
        <v>4.4289561058776426E-2</v>
      </c>
      <c r="V11">
        <f t="shared" si="15"/>
        <v>4.6013644558795405E-2</v>
      </c>
      <c r="W11">
        <f t="shared" si="15"/>
        <v>3.5483627032938097E-3</v>
      </c>
      <c r="X11">
        <f t="shared" si="15"/>
        <v>0.10153461651336192</v>
      </c>
      <c r="Y11" t="e">
        <f t="shared" si="15"/>
        <v>#DIV/0!</v>
      </c>
      <c r="Z11">
        <f>M11/SQRT(SUMSQ(M$3:M$251))</f>
        <v>0.15884442508802737</v>
      </c>
      <c r="AA11">
        <f>N11/SQRT(SUMSQ(N$3:N$251))</f>
        <v>2.3450094303731298E-2</v>
      </c>
      <c r="AB11">
        <f>O11/SQRT(SUMSQ(O$3:O$251))</f>
        <v>2.2657472186380347E-2</v>
      </c>
      <c r="AC11">
        <f>P11/SQRT(SUMSQ(P$3:P$251))</f>
        <v>1.4787313071784946E-2</v>
      </c>
      <c r="AD11" t="e">
        <f>Q11/SQRT(SUMSQ(Q$3:Q$251))</f>
        <v>#REF!</v>
      </c>
      <c r="AT11" s="1" t="e">
        <f t="shared" si="3"/>
        <v>#REF!</v>
      </c>
      <c r="AU11" t="e">
        <f t="shared" si="4"/>
        <v>#REF!</v>
      </c>
      <c r="AV11" s="2" t="e">
        <f t="shared" si="8"/>
        <v>#REF!</v>
      </c>
      <c r="AW11" t="e">
        <f>RANK(AV11,$AV$3:$AV$62,0)</f>
        <v>#REF!</v>
      </c>
      <c r="AX11" s="3">
        <v>9</v>
      </c>
    </row>
    <row r="12" spans="1:50" ht="18.399999999999999" customHeight="1" x14ac:dyDescent="0.45">
      <c r="A12" s="3" t="s">
        <v>62</v>
      </c>
      <c r="B12" t="s">
        <v>63</v>
      </c>
      <c r="C12" s="6">
        <v>46106</v>
      </c>
      <c r="D12" s="4" t="s">
        <v>64</v>
      </c>
      <c r="E12" s="3">
        <v>14000</v>
      </c>
      <c r="F12" s="3">
        <v>927</v>
      </c>
      <c r="G12" s="3">
        <v>25</v>
      </c>
      <c r="H12" s="3">
        <v>20</v>
      </c>
      <c r="I12" s="3">
        <v>28</v>
      </c>
      <c r="J12" s="3">
        <v>2</v>
      </c>
      <c r="L12" s="6">
        <f t="shared" si="6"/>
        <v>46076</v>
      </c>
      <c r="M12" s="3">
        <v>115000</v>
      </c>
      <c r="N12" s="3">
        <f t="shared" si="9"/>
        <v>8.060869565217392E-3</v>
      </c>
      <c r="O12" s="3">
        <f t="shared" si="10"/>
        <v>2.173913043478261E-4</v>
      </c>
      <c r="P12" s="3">
        <f t="shared" si="11"/>
        <v>1.7391304347826088E-4</v>
      </c>
      <c r="Q12" s="3">
        <f t="shared" si="12"/>
        <v>2.4347826086956522E-4</v>
      </c>
      <c r="S12">
        <f t="shared" ref="S12:Y13" si="16">E12/SQRT(SUMSQ(E$3:E$221))</f>
        <v>2.322323488237223E-2</v>
      </c>
      <c r="T12">
        <f t="shared" si="16"/>
        <v>7.4354149348938914E-2</v>
      </c>
      <c r="U12">
        <f t="shared" si="16"/>
        <v>2.129305820133482E-2</v>
      </c>
      <c r="V12">
        <f t="shared" si="16"/>
        <v>2.4217707662523895E-2</v>
      </c>
      <c r="W12">
        <f t="shared" si="16"/>
        <v>2.9221810497713726E-3</v>
      </c>
      <c r="X12">
        <f t="shared" si="16"/>
        <v>0.20306923302672383</v>
      </c>
      <c r="Y12" t="e">
        <f t="shared" si="16"/>
        <v>#DIV/0!</v>
      </c>
      <c r="Z12">
        <f t="shared" ref="Z12:AD13" si="17">M12/SQRT(SUMSQ(M$3:M$221))</f>
        <v>0.14383550303246573</v>
      </c>
      <c r="AA12">
        <f t="shared" si="17"/>
        <v>3.3669810991938318E-2</v>
      </c>
      <c r="AB12">
        <f t="shared" si="17"/>
        <v>1.2029677958487896E-2</v>
      </c>
      <c r="AC12">
        <f t="shared" si="17"/>
        <v>8.594914233943653E-3</v>
      </c>
      <c r="AD12" t="e">
        <f t="shared" si="17"/>
        <v>#REF!</v>
      </c>
      <c r="AT12" s="1" t="e">
        <f t="shared" si="3"/>
        <v>#REF!</v>
      </c>
      <c r="AU12" t="e">
        <f t="shared" si="4"/>
        <v>#REF!</v>
      </c>
      <c r="AV12" s="2" t="e">
        <f t="shared" si="8"/>
        <v>#REF!</v>
      </c>
      <c r="AW12" t="e">
        <f>RANK(AV12,$AV$3:$AV$32,0)</f>
        <v>#REF!</v>
      </c>
      <c r="AX12" s="3">
        <v>10</v>
      </c>
    </row>
    <row r="13" spans="1:50" ht="18.399999999999999" customHeight="1" x14ac:dyDescent="0.45">
      <c r="A13" s="3" t="s">
        <v>67</v>
      </c>
      <c r="B13" t="s">
        <v>66</v>
      </c>
      <c r="C13" s="6">
        <v>46103</v>
      </c>
      <c r="D13" s="4" t="s">
        <v>65</v>
      </c>
      <c r="E13" s="3">
        <v>30000</v>
      </c>
      <c r="F13" s="3">
        <v>698</v>
      </c>
      <c r="G13" s="3">
        <v>225</v>
      </c>
      <c r="H13" s="3">
        <v>5</v>
      </c>
      <c r="I13" s="3">
        <v>18</v>
      </c>
      <c r="J13" s="3">
        <v>1</v>
      </c>
      <c r="L13" s="6">
        <f t="shared" si="6"/>
        <v>46073</v>
      </c>
      <c r="M13" s="3">
        <v>71200</v>
      </c>
      <c r="N13" s="3">
        <f t="shared" si="9"/>
        <v>9.8033707865168539E-3</v>
      </c>
      <c r="O13" s="3">
        <f t="shared" si="10"/>
        <v>3.1601123595505617E-3</v>
      </c>
      <c r="P13" s="3">
        <f t="shared" si="11"/>
        <v>7.0224719101123602E-5</v>
      </c>
      <c r="Q13" s="3">
        <f t="shared" si="12"/>
        <v>2.5280898876404496E-4</v>
      </c>
      <c r="S13">
        <f t="shared" si="16"/>
        <v>4.9764074747940493E-2</v>
      </c>
      <c r="T13">
        <f t="shared" si="16"/>
        <v>5.5986187967162204E-2</v>
      </c>
      <c r="U13">
        <f t="shared" si="16"/>
        <v>0.19163752381201341</v>
      </c>
      <c r="V13">
        <f t="shared" si="16"/>
        <v>6.0544269156309737E-3</v>
      </c>
      <c r="W13">
        <f t="shared" si="16"/>
        <v>1.878544960567311E-3</v>
      </c>
      <c r="X13">
        <f t="shared" si="16"/>
        <v>0.10153461651336192</v>
      </c>
      <c r="Y13" t="e">
        <f t="shared" si="16"/>
        <v>#DIV/0!</v>
      </c>
      <c r="Z13">
        <f t="shared" si="17"/>
        <v>8.9052937529665741E-2</v>
      </c>
      <c r="AA13">
        <f t="shared" si="17"/>
        <v>4.0948143223926529E-2</v>
      </c>
      <c r="AB13">
        <f t="shared" si="17"/>
        <v>0.17486961639094059</v>
      </c>
      <c r="AC13">
        <f t="shared" si="17"/>
        <v>3.4705587672174162E-3</v>
      </c>
      <c r="AD13" t="e">
        <f t="shared" si="17"/>
        <v>#REF!</v>
      </c>
      <c r="AT13" s="1" t="e">
        <f t="shared" si="3"/>
        <v>#REF!</v>
      </c>
      <c r="AU13" t="e">
        <f t="shared" si="4"/>
        <v>#REF!</v>
      </c>
      <c r="AV13" s="2" t="e">
        <f t="shared" si="8"/>
        <v>#REF!</v>
      </c>
      <c r="AW13" t="e">
        <f>RANK(AV13,$AV$3:$AV$32,0)</f>
        <v>#REF!</v>
      </c>
      <c r="AX13" s="3">
        <v>11</v>
      </c>
    </row>
    <row r="14" spans="1:50" ht="18.399999999999999" customHeight="1" x14ac:dyDescent="0.45">
      <c r="A14" s="3" t="s">
        <v>68</v>
      </c>
      <c r="B14" t="s">
        <v>69</v>
      </c>
      <c r="C14" s="6">
        <v>46116</v>
      </c>
      <c r="D14" s="3" t="s">
        <v>70</v>
      </c>
      <c r="E14" s="3">
        <v>2787</v>
      </c>
      <c r="F14" s="3">
        <v>43</v>
      </c>
      <c r="G14" s="3">
        <v>36</v>
      </c>
      <c r="H14" s="3">
        <v>1</v>
      </c>
      <c r="I14" s="3">
        <v>0</v>
      </c>
      <c r="J14" s="3">
        <v>3</v>
      </c>
      <c r="L14" s="6">
        <f t="shared" si="6"/>
        <v>46086</v>
      </c>
      <c r="M14" s="3">
        <v>53800</v>
      </c>
      <c r="N14" s="3">
        <f>G14/M14</f>
        <v>6.691449814126394E-4</v>
      </c>
      <c r="O14" s="3">
        <f>H14/M14</f>
        <v>1.8587360594795539E-5</v>
      </c>
      <c r="P14" s="3">
        <f>I14/M14</f>
        <v>0</v>
      </c>
      <c r="Q14" s="3" t="e">
        <f>#REF!/M14</f>
        <v>#REF!</v>
      </c>
      <c r="S14">
        <f t="shared" ref="S14:V15" si="18">F14/SQRT(SUMSQ(E$3:E$251))</f>
        <v>7.1328507138714709E-5</v>
      </c>
      <c r="T14">
        <f t="shared" si="18"/>
        <v>2.8875397805413171E-3</v>
      </c>
      <c r="U14">
        <f t="shared" si="18"/>
        <v>8.517223280533929E-4</v>
      </c>
      <c r="V14">
        <f t="shared" si="18"/>
        <v>0</v>
      </c>
      <c r="W14" t="e">
        <f>#REF!/SQRT(SUMSQ(I$3:I$251))</f>
        <v>#REF!</v>
      </c>
      <c r="X14">
        <f>J14/SQRT(SUMSQ(J$3:J$251))</f>
        <v>0.30460384954008574</v>
      </c>
      <c r="Y14" t="e">
        <f>K14/SQRT(SUMSQ(K$3:K$251))</f>
        <v>#DIV/0!</v>
      </c>
      <c r="Z14">
        <f t="shared" ref="Z14:AD15" si="19">M14/SQRT(SUMSQ(M$3:M$251))</f>
        <v>6.7290000549101364E-2</v>
      </c>
      <c r="AA14">
        <f t="shared" si="19"/>
        <v>2.7949819641772161E-3</v>
      </c>
      <c r="AB14">
        <f t="shared" si="19"/>
        <v>1.0285598254469203E-3</v>
      </c>
      <c r="AC14">
        <f t="shared" si="19"/>
        <v>0</v>
      </c>
      <c r="AD14" t="e">
        <f t="shared" si="19"/>
        <v>#REF!</v>
      </c>
      <c r="AT14" s="1" t="e">
        <f t="shared" si="3"/>
        <v>#REF!</v>
      </c>
      <c r="AU14" t="e">
        <f t="shared" si="4"/>
        <v>#REF!</v>
      </c>
      <c r="AV14" s="2" t="e">
        <f t="shared" si="8"/>
        <v>#REF!</v>
      </c>
      <c r="AW14" t="e">
        <f>RANK(AV14,$AV$3:$AV$62,0)</f>
        <v>#REF!</v>
      </c>
      <c r="AX14" s="3">
        <v>12</v>
      </c>
    </row>
    <row r="15" spans="1:50" ht="15.5" customHeight="1" x14ac:dyDescent="0.45">
      <c r="A15" s="3" t="s">
        <v>68</v>
      </c>
      <c r="B15" s="3" t="s">
        <v>74</v>
      </c>
      <c r="C15" s="6">
        <v>46117</v>
      </c>
      <c r="D15" s="4" t="s">
        <v>75</v>
      </c>
      <c r="E15" s="3">
        <v>3197</v>
      </c>
      <c r="F15" s="3">
        <v>45</v>
      </c>
      <c r="G15" s="3">
        <v>18</v>
      </c>
      <c r="H15" s="3">
        <v>0</v>
      </c>
      <c r="I15" s="3">
        <v>0</v>
      </c>
      <c r="J15" s="3">
        <v>2</v>
      </c>
      <c r="L15" s="6">
        <f t="shared" si="6"/>
        <v>46087</v>
      </c>
      <c r="M15" s="3">
        <v>53800</v>
      </c>
      <c r="N15" s="3">
        <f>G15/M15</f>
        <v>3.345724907063197E-4</v>
      </c>
      <c r="O15" s="3">
        <f>H15/M15</f>
        <v>0</v>
      </c>
      <c r="P15" s="3">
        <f>I15/M15</f>
        <v>0</v>
      </c>
      <c r="Q15" s="3" t="e">
        <f>#REF!/M15</f>
        <v>#REF!</v>
      </c>
      <c r="S15">
        <f t="shared" si="18"/>
        <v>7.4646112121910731E-5</v>
      </c>
      <c r="T15">
        <f t="shared" si="18"/>
        <v>1.4437698902706585E-3</v>
      </c>
      <c r="U15">
        <f t="shared" si="18"/>
        <v>0</v>
      </c>
      <c r="V15">
        <f t="shared" si="18"/>
        <v>0</v>
      </c>
      <c r="W15" t="e">
        <f>#REF!/SQRT(SUMSQ(I$3:I$251))</f>
        <v>#REF!</v>
      </c>
      <c r="X15">
        <f>J15/SQRT(SUMSQ(J$3:J$251))</f>
        <v>0.20306923302672383</v>
      </c>
      <c r="Y15" t="e">
        <f>K15/SQRT(SUMSQ(K$3:K$251))</f>
        <v>#DIV/0!</v>
      </c>
      <c r="Z15">
        <f t="shared" si="19"/>
        <v>6.7290000549101364E-2</v>
      </c>
      <c r="AA15">
        <f t="shared" si="19"/>
        <v>1.3974909820886081E-3</v>
      </c>
      <c r="AB15">
        <f t="shared" si="19"/>
        <v>0</v>
      </c>
      <c r="AC15">
        <f t="shared" si="19"/>
        <v>0</v>
      </c>
      <c r="AD15" t="e">
        <f t="shared" si="19"/>
        <v>#REF!</v>
      </c>
      <c r="AT15" s="1" t="e">
        <f t="shared" si="3"/>
        <v>#REF!</v>
      </c>
      <c r="AU15" t="e">
        <f t="shared" si="4"/>
        <v>#REF!</v>
      </c>
      <c r="AV15" s="2" t="e">
        <f t="shared" ref="AV15" si="20">AU15/(AT15+AU15)</f>
        <v>#REF!</v>
      </c>
      <c r="AW15" t="e">
        <f>RANK(AV15,$AV$3:$AV$32,0)</f>
        <v>#REF!</v>
      </c>
      <c r="AX15" s="3">
        <v>13</v>
      </c>
    </row>
    <row r="16" spans="1:50" ht="16.5" customHeight="1" x14ac:dyDescent="0.45">
      <c r="A16" s="3" t="s">
        <v>71</v>
      </c>
      <c r="B16" s="3" t="s">
        <v>73</v>
      </c>
      <c r="C16" s="6">
        <v>46112</v>
      </c>
      <c r="D16" s="3" t="s">
        <v>72</v>
      </c>
      <c r="E16" s="3">
        <v>320000</v>
      </c>
      <c r="F16" s="3">
        <v>3162</v>
      </c>
      <c r="G16" s="3">
        <v>624</v>
      </c>
      <c r="H16" s="3">
        <v>13</v>
      </c>
      <c r="I16" s="3">
        <v>143</v>
      </c>
      <c r="J16" s="3">
        <v>1</v>
      </c>
      <c r="L16" s="6">
        <f>C16-30</f>
        <v>46082</v>
      </c>
      <c r="M16" s="3">
        <v>108000</v>
      </c>
      <c r="N16" s="3">
        <f>F16/M16</f>
        <v>2.9277777777777778E-2</v>
      </c>
      <c r="O16" s="3">
        <f>G16/M16</f>
        <v>5.7777777777777775E-3</v>
      </c>
      <c r="P16" s="3">
        <f>H16/M16</f>
        <v>1.2037037037037037E-4</v>
      </c>
      <c r="Q16" s="3">
        <f>I16/M16</f>
        <v>1.3240740740740741E-3</v>
      </c>
      <c r="S16">
        <f t="shared" ref="S16:Y17" si="21">E16/SQRT(SUMSQ(E$3:E$221))</f>
        <v>0.53081679731136522</v>
      </c>
      <c r="T16">
        <f t="shared" si="21"/>
        <v>0.25362224405754569</v>
      </c>
      <c r="U16">
        <f t="shared" si="21"/>
        <v>0.5314747327053172</v>
      </c>
      <c r="V16">
        <f t="shared" si="21"/>
        <v>1.5741509980640531E-2</v>
      </c>
      <c r="W16">
        <f t="shared" si="21"/>
        <v>1.4923996075618081E-2</v>
      </c>
      <c r="X16">
        <f t="shared" si="21"/>
        <v>0.10153461651336192</v>
      </c>
      <c r="Y16" t="e">
        <f t="shared" si="21"/>
        <v>#DIV/0!</v>
      </c>
      <c r="Z16">
        <f t="shared" ref="Z16:AD17" si="22">M16/SQRT(SUMSQ(M$3:M$221))</f>
        <v>0.13508029850005476</v>
      </c>
      <c r="AA16">
        <f t="shared" si="22"/>
        <v>0.12229167536656009</v>
      </c>
      <c r="AB16">
        <f t="shared" si="22"/>
        <v>0.31972210751892272</v>
      </c>
      <c r="AC16">
        <f t="shared" si="22"/>
        <v>5.948794805437853E-3</v>
      </c>
      <c r="AD16" t="e">
        <f t="shared" si="22"/>
        <v>#REF!</v>
      </c>
      <c r="AT16" s="1" t="e">
        <f t="shared" si="3"/>
        <v>#REF!</v>
      </c>
      <c r="AU16" t="e">
        <f t="shared" si="4"/>
        <v>#REF!</v>
      </c>
      <c r="AV16" s="2" t="e">
        <f>AU16/(AT16+AU16)</f>
        <v>#REF!</v>
      </c>
      <c r="AW16" t="e">
        <f>RANK(AV16,$AV$3:$AV$32,0)</f>
        <v>#REF!</v>
      </c>
      <c r="AX16" s="3">
        <v>14</v>
      </c>
    </row>
    <row r="17" spans="1:50" ht="16.5" customHeight="1" x14ac:dyDescent="0.45">
      <c r="A17" t="s">
        <v>76</v>
      </c>
      <c r="B17" s="3" t="s">
        <v>77</v>
      </c>
      <c r="C17" s="6">
        <v>46116</v>
      </c>
      <c r="D17" s="4" t="s">
        <v>78</v>
      </c>
      <c r="E17" s="3">
        <v>43000</v>
      </c>
      <c r="F17" s="3">
        <v>2668</v>
      </c>
      <c r="G17" s="3">
        <v>30</v>
      </c>
      <c r="H17" s="3">
        <v>49</v>
      </c>
      <c r="I17" s="3">
        <v>169</v>
      </c>
      <c r="J17" s="3">
        <v>2</v>
      </c>
      <c r="L17" s="6">
        <f t="shared" si="6"/>
        <v>46086</v>
      </c>
      <c r="M17" s="3">
        <v>404000</v>
      </c>
      <c r="N17" s="3">
        <f t="shared" si="9"/>
        <v>6.6039603960396038E-3</v>
      </c>
      <c r="O17" s="3">
        <f t="shared" si="10"/>
        <v>7.4257425742574256E-5</v>
      </c>
      <c r="P17" s="3">
        <f t="shared" si="11"/>
        <v>1.2128712871287129E-4</v>
      </c>
      <c r="Q17" s="3">
        <f t="shared" si="12"/>
        <v>4.1831683168316831E-4</v>
      </c>
      <c r="S17">
        <f t="shared" si="21"/>
        <v>7.1328507138714706E-2</v>
      </c>
      <c r="T17">
        <f t="shared" si="21"/>
        <v>0.21399878151345095</v>
      </c>
      <c r="U17">
        <f t="shared" si="21"/>
        <v>2.5551669841601787E-2</v>
      </c>
      <c r="V17">
        <f t="shared" si="21"/>
        <v>5.9333383773183548E-2</v>
      </c>
      <c r="W17">
        <f t="shared" si="21"/>
        <v>1.7637449907548643E-2</v>
      </c>
      <c r="X17">
        <f t="shared" si="21"/>
        <v>0.20306923302672383</v>
      </c>
      <c r="Y17" t="e">
        <f t="shared" si="21"/>
        <v>#DIV/0!</v>
      </c>
      <c r="Z17">
        <f t="shared" si="22"/>
        <v>0.5053003758705753</v>
      </c>
      <c r="AA17">
        <f t="shared" si="22"/>
        <v>2.7584381130834359E-2</v>
      </c>
      <c r="AB17">
        <f t="shared" si="22"/>
        <v>4.1091474214636865E-3</v>
      </c>
      <c r="AC17">
        <f t="shared" si="22"/>
        <v>5.9941016965683767E-3</v>
      </c>
      <c r="AD17" t="e">
        <f t="shared" si="22"/>
        <v>#REF!</v>
      </c>
      <c r="AT17" s="1" t="e">
        <f t="shared" si="3"/>
        <v>#REF!</v>
      </c>
      <c r="AU17" t="e">
        <f t="shared" si="4"/>
        <v>#REF!</v>
      </c>
      <c r="AV17" s="2" t="e">
        <f t="shared" si="8"/>
        <v>#REF!</v>
      </c>
      <c r="AW17" t="e">
        <f>RANK(AV17,$AV$3:$AV$32,0)</f>
        <v>#REF!</v>
      </c>
      <c r="AX17" s="3">
        <v>15</v>
      </c>
    </row>
    <row r="18" spans="1:50" ht="16.5" customHeight="1" x14ac:dyDescent="0.45">
      <c r="D18" s="4"/>
      <c r="S18"/>
      <c r="T18"/>
      <c r="U18"/>
      <c r="V18"/>
      <c r="W18"/>
      <c r="X18"/>
      <c r="Y18"/>
      <c r="Z18"/>
      <c r="AA18"/>
      <c r="AB18"/>
      <c r="AC18"/>
      <c r="AD18"/>
      <c r="AT18" s="1"/>
      <c r="AU18"/>
      <c r="AV18" s="2"/>
      <c r="AW18"/>
    </row>
    <row r="19" spans="1:50" ht="16.5" customHeight="1" x14ac:dyDescent="0.45">
      <c r="D19" s="4"/>
      <c r="S19"/>
      <c r="T19"/>
      <c r="U19"/>
      <c r="V19"/>
      <c r="W19"/>
      <c r="X19"/>
      <c r="Y19"/>
      <c r="Z19"/>
      <c r="AA19"/>
      <c r="AB19"/>
      <c r="AC19"/>
      <c r="AD19"/>
      <c r="AT19" s="1"/>
      <c r="AU19"/>
      <c r="AV19" s="2"/>
      <c r="AW19"/>
    </row>
    <row r="20" spans="1:50" ht="16.5" customHeight="1" x14ac:dyDescent="0.45">
      <c r="D20" s="4"/>
      <c r="S20"/>
      <c r="T20"/>
      <c r="U20"/>
      <c r="V20"/>
      <c r="W20"/>
      <c r="X20"/>
      <c r="Y20"/>
      <c r="Z20"/>
      <c r="AA20"/>
      <c r="AB20"/>
      <c r="AC20"/>
      <c r="AD20"/>
      <c r="AT20" s="1"/>
      <c r="AU20"/>
      <c r="AV20" s="2"/>
      <c r="AW20"/>
    </row>
    <row r="21" spans="1:50" ht="15.85" customHeight="1" x14ac:dyDescent="0.45">
      <c r="D21" s="4"/>
      <c r="S21"/>
      <c r="T21"/>
      <c r="U21"/>
      <c r="V21"/>
      <c r="W21"/>
      <c r="X21"/>
      <c r="Y21"/>
      <c r="Z21"/>
      <c r="AA21"/>
      <c r="AB21"/>
      <c r="AC21"/>
      <c r="AD21"/>
      <c r="AT21" s="1"/>
      <c r="AU21"/>
      <c r="AV21" s="2"/>
      <c r="AW21"/>
    </row>
    <row r="22" spans="1:50" ht="15.85" customHeight="1" x14ac:dyDescent="0.45">
      <c r="D22" s="4"/>
      <c r="S22"/>
      <c r="T22"/>
      <c r="U22"/>
      <c r="V22"/>
      <c r="W22"/>
      <c r="X22"/>
      <c r="Y22"/>
      <c r="Z22"/>
      <c r="AA22"/>
      <c r="AB22"/>
      <c r="AC22"/>
      <c r="AD22"/>
      <c r="AT22" s="1"/>
      <c r="AU22"/>
      <c r="AV22" s="2"/>
      <c r="AW22"/>
    </row>
    <row r="23" spans="1:50" ht="15.85" customHeight="1" x14ac:dyDescent="0.45">
      <c r="D23" s="4"/>
      <c r="S23"/>
      <c r="T23"/>
      <c r="U23"/>
      <c r="V23"/>
      <c r="W23"/>
      <c r="X23"/>
      <c r="Y23"/>
      <c r="Z23"/>
      <c r="AA23"/>
      <c r="AB23"/>
      <c r="AC23"/>
      <c r="AD23"/>
      <c r="AT23" s="1"/>
      <c r="AU23"/>
      <c r="AV23" s="2"/>
      <c r="AW23"/>
    </row>
    <row r="24" spans="1:50" ht="15.85" customHeight="1" x14ac:dyDescent="0.45">
      <c r="D24" s="4"/>
      <c r="S24"/>
      <c r="T24"/>
      <c r="U24"/>
      <c r="V24"/>
      <c r="W24"/>
      <c r="X24"/>
      <c r="Y24"/>
      <c r="Z24"/>
      <c r="AA24"/>
      <c r="AB24"/>
      <c r="AC24"/>
      <c r="AD24"/>
      <c r="AT24" s="1"/>
      <c r="AU24"/>
      <c r="AV24" s="2"/>
      <c r="AW24"/>
    </row>
    <row r="25" spans="1:50" ht="15.85" customHeight="1" x14ac:dyDescent="0.45">
      <c r="D25" s="4"/>
      <c r="S25"/>
      <c r="T25"/>
      <c r="U25"/>
      <c r="V25"/>
      <c r="W25"/>
      <c r="X25"/>
      <c r="Y25"/>
      <c r="Z25"/>
      <c r="AA25"/>
      <c r="AB25"/>
      <c r="AC25"/>
      <c r="AD25"/>
      <c r="AT25" s="1"/>
      <c r="AU25"/>
      <c r="AV25" s="2"/>
      <c r="AW25"/>
    </row>
    <row r="26" spans="1:50" ht="15.85" customHeight="1" x14ac:dyDescent="0.45">
      <c r="D26" s="4"/>
      <c r="S26"/>
      <c r="T26"/>
      <c r="U26"/>
      <c r="V26"/>
      <c r="W26"/>
      <c r="X26"/>
      <c r="Y26"/>
      <c r="Z26"/>
      <c r="AA26"/>
      <c r="AB26"/>
      <c r="AC26"/>
      <c r="AD26"/>
      <c r="AT26" s="1"/>
      <c r="AU26"/>
      <c r="AV26" s="2"/>
      <c r="AW26"/>
    </row>
    <row r="27" spans="1:50" ht="18.850000000000001" customHeight="1" x14ac:dyDescent="0.45">
      <c r="D27" s="4"/>
      <c r="S27"/>
      <c r="T27"/>
      <c r="U27"/>
      <c r="V27"/>
      <c r="W27"/>
      <c r="X27"/>
      <c r="Y27"/>
      <c r="Z27"/>
      <c r="AA27"/>
      <c r="AB27"/>
      <c r="AC27"/>
      <c r="AD27"/>
      <c r="AT27" s="1"/>
      <c r="AU27"/>
      <c r="AV27" s="2"/>
      <c r="AW27"/>
    </row>
    <row r="28" spans="1:50" ht="18.850000000000001" customHeight="1" x14ac:dyDescent="0.45">
      <c r="D28" s="4"/>
      <c r="S28"/>
      <c r="T28"/>
      <c r="U28"/>
      <c r="V28"/>
      <c r="W28"/>
      <c r="X28"/>
      <c r="Y28"/>
      <c r="Z28"/>
      <c r="AA28"/>
      <c r="AB28"/>
      <c r="AC28"/>
      <c r="AD28"/>
      <c r="AT28" s="1"/>
      <c r="AU28"/>
      <c r="AV28" s="2"/>
      <c r="AW28"/>
    </row>
    <row r="29" spans="1:50" ht="18.850000000000001" customHeight="1" x14ac:dyDescent="0.45">
      <c r="D29" s="4"/>
      <c r="S29"/>
      <c r="T29"/>
      <c r="U29"/>
      <c r="V29"/>
      <c r="W29"/>
      <c r="X29"/>
      <c r="Y29"/>
      <c r="Z29"/>
      <c r="AA29"/>
      <c r="AB29"/>
      <c r="AC29"/>
      <c r="AD29"/>
      <c r="AT29" s="1"/>
      <c r="AU29"/>
      <c r="AV29" s="2"/>
      <c r="AW29"/>
    </row>
    <row r="30" spans="1:50" ht="18.850000000000001" customHeight="1" x14ac:dyDescent="0.45">
      <c r="D30" s="4"/>
      <c r="S30"/>
      <c r="T30"/>
      <c r="U30"/>
      <c r="V30"/>
      <c r="W30"/>
      <c r="X30"/>
      <c r="Y30"/>
      <c r="Z30"/>
      <c r="AA30"/>
      <c r="AB30"/>
      <c r="AC30"/>
      <c r="AD30"/>
      <c r="AT30" s="1"/>
      <c r="AU30"/>
      <c r="AV30" s="2"/>
      <c r="AW30"/>
    </row>
    <row r="31" spans="1:50" ht="18.850000000000001" customHeight="1" x14ac:dyDescent="0.45">
      <c r="D31" s="4"/>
      <c r="S31"/>
      <c r="T31"/>
      <c r="U31"/>
      <c r="V31"/>
      <c r="W31"/>
      <c r="X31"/>
      <c r="Y31"/>
      <c r="Z31"/>
      <c r="AA31"/>
      <c r="AB31"/>
      <c r="AC31"/>
      <c r="AD31"/>
      <c r="AT31" s="1"/>
      <c r="AU31"/>
      <c r="AV31" s="2"/>
      <c r="AW31"/>
    </row>
    <row r="32" spans="1:50" ht="18.850000000000001" customHeight="1" x14ac:dyDescent="0.45">
      <c r="D32" s="4"/>
      <c r="AT32" s="1"/>
      <c r="AU32"/>
      <c r="AV32" s="2"/>
      <c r="AW32"/>
    </row>
    <row r="33" spans="4:48" ht="15.5" customHeight="1" x14ac:dyDescent="0.45">
      <c r="D33" s="4"/>
      <c r="AT33" s="4"/>
      <c r="AV33" s="5"/>
    </row>
    <row r="34" spans="4:48" ht="15.5" customHeight="1" x14ac:dyDescent="0.45">
      <c r="D34" s="4"/>
      <c r="AT34" s="4"/>
      <c r="AV34" s="5"/>
    </row>
    <row r="35" spans="4:48" ht="15.5" customHeight="1" x14ac:dyDescent="0.45">
      <c r="D35" s="4"/>
      <c r="AT35" s="4"/>
      <c r="AV35" s="5"/>
    </row>
    <row r="36" spans="4:48" ht="15.5" customHeight="1" x14ac:dyDescent="0.45">
      <c r="D36" s="4"/>
      <c r="AT36" s="4"/>
      <c r="AV36" s="5"/>
    </row>
    <row r="37" spans="4:48" ht="15.5" customHeight="1" x14ac:dyDescent="0.45">
      <c r="D37" s="4"/>
      <c r="AT37" s="4"/>
      <c r="AV37" s="5"/>
    </row>
    <row r="38" spans="4:48" ht="15.5" customHeight="1" x14ac:dyDescent="0.45">
      <c r="D38" s="4"/>
      <c r="AT38" s="4"/>
      <c r="AV38" s="5"/>
    </row>
    <row r="39" spans="4:48" ht="15.5" customHeight="1" x14ac:dyDescent="0.45">
      <c r="D39" s="4"/>
      <c r="AT39" s="4"/>
      <c r="AV39" s="5"/>
    </row>
    <row r="40" spans="4:48" ht="15.5" customHeight="1" x14ac:dyDescent="0.45">
      <c r="D40" s="4"/>
      <c r="AT40" s="4"/>
      <c r="AV40" s="5"/>
    </row>
    <row r="41" spans="4:48" ht="15.5" customHeight="1" x14ac:dyDescent="0.45">
      <c r="D41" s="4"/>
      <c r="AT41" s="4"/>
      <c r="AV41" s="5"/>
    </row>
    <row r="42" spans="4:48" ht="15.5" customHeight="1" x14ac:dyDescent="0.45">
      <c r="D42" s="4"/>
      <c r="AT42" s="4"/>
      <c r="AV42" s="5"/>
    </row>
    <row r="43" spans="4:48" ht="15.5" customHeight="1" x14ac:dyDescent="0.45">
      <c r="D43" s="4"/>
      <c r="AT43" s="4"/>
      <c r="AV43" s="5"/>
    </row>
    <row r="44" spans="4:48" ht="15.5" customHeight="1" x14ac:dyDescent="0.45">
      <c r="D44" s="4"/>
      <c r="AT44" s="4"/>
      <c r="AV44" s="5"/>
    </row>
    <row r="45" spans="4:48" ht="15.5" customHeight="1" x14ac:dyDescent="0.45">
      <c r="D45" s="4"/>
      <c r="AT45" s="4"/>
      <c r="AV45" s="5"/>
    </row>
    <row r="46" spans="4:48" ht="15.5" customHeight="1" x14ac:dyDescent="0.45">
      <c r="D46" s="4"/>
      <c r="AT46" s="4"/>
      <c r="AV46" s="5"/>
    </row>
    <row r="47" spans="4:48" ht="15.5" customHeight="1" x14ac:dyDescent="0.45">
      <c r="D47" s="4"/>
      <c r="AT47" s="4"/>
      <c r="AV47" s="5"/>
    </row>
    <row r="48" spans="4:48" ht="15.5" customHeight="1" x14ac:dyDescent="0.45">
      <c r="D48" s="4"/>
      <c r="AT48" s="4"/>
      <c r="AV48" s="5"/>
    </row>
    <row r="49" spans="2:48" ht="15.5" customHeight="1" x14ac:dyDescent="0.45">
      <c r="D49" s="4"/>
      <c r="AT49" s="4"/>
      <c r="AV49" s="5"/>
    </row>
    <row r="50" spans="2:48" ht="15.5" customHeight="1" x14ac:dyDescent="0.45">
      <c r="D50" s="4"/>
      <c r="AT50" s="4"/>
      <c r="AV50" s="5"/>
    </row>
    <row r="51" spans="2:48" ht="15.5" customHeight="1" x14ac:dyDescent="0.45">
      <c r="D51" s="4"/>
      <c r="AT51" s="4"/>
      <c r="AV51" s="5"/>
    </row>
    <row r="52" spans="2:48" ht="15.5" customHeight="1" x14ac:dyDescent="0.45">
      <c r="D52" s="4"/>
      <c r="AT52" s="4"/>
      <c r="AV52" s="5"/>
    </row>
    <row r="53" spans="2:48" ht="15.5" customHeight="1" x14ac:dyDescent="0.45">
      <c r="D53" s="4"/>
      <c r="AT53" s="4"/>
      <c r="AV53" s="5"/>
    </row>
    <row r="54" spans="2:48" ht="15.5" customHeight="1" x14ac:dyDescent="0.45">
      <c r="D54" s="4"/>
      <c r="AT54" s="4"/>
      <c r="AV54" s="5"/>
    </row>
    <row r="55" spans="2:48" ht="15.5" customHeight="1" x14ac:dyDescent="0.45">
      <c r="D55" s="4"/>
      <c r="AT55" s="4"/>
      <c r="AV55" s="5"/>
    </row>
    <row r="56" spans="2:48" ht="15.5" customHeight="1" x14ac:dyDescent="0.45">
      <c r="D56" s="4"/>
      <c r="AT56" s="4"/>
      <c r="AV56" s="5"/>
    </row>
    <row r="57" spans="2:48" ht="15.5" customHeight="1" x14ac:dyDescent="0.45">
      <c r="D57" s="4"/>
      <c r="AT57" s="4"/>
      <c r="AV57" s="5"/>
    </row>
    <row r="58" spans="2:48" ht="15.5" customHeight="1" x14ac:dyDescent="0.45">
      <c r="D58" s="4"/>
      <c r="AT58" s="4"/>
      <c r="AV58" s="5"/>
    </row>
    <row r="59" spans="2:48" ht="15.5" customHeight="1" x14ac:dyDescent="0.45">
      <c r="D59" s="4"/>
      <c r="AT59" s="4"/>
      <c r="AV59" s="5"/>
    </row>
    <row r="60" spans="2:48" ht="15.5" customHeight="1" x14ac:dyDescent="0.45">
      <c r="B60" s="7"/>
      <c r="D60" s="4"/>
      <c r="AT60" s="4"/>
      <c r="AV60" s="5"/>
    </row>
    <row r="61" spans="2:48" ht="15.5" customHeight="1" x14ac:dyDescent="0.45">
      <c r="D61" s="4"/>
      <c r="AT61" s="4"/>
      <c r="AV61" s="5"/>
    </row>
    <row r="62" spans="2:48" ht="15.5" customHeight="1" x14ac:dyDescent="0.45">
      <c r="D62" s="4"/>
      <c r="AT62" s="4"/>
      <c r="AV62" s="5"/>
    </row>
    <row r="63" spans="2:48" ht="15.5" customHeight="1" x14ac:dyDescent="0.45">
      <c r="D63" s="4"/>
      <c r="AT63" s="4"/>
      <c r="AV63" s="5"/>
    </row>
    <row r="64" spans="2:48" ht="15.5" customHeight="1" x14ac:dyDescent="0.45">
      <c r="D64" s="4"/>
      <c r="AT64" s="4"/>
      <c r="AV64" s="5"/>
    </row>
    <row r="65" spans="4:48" ht="15.5" customHeight="1" x14ac:dyDescent="0.45">
      <c r="D65" s="4"/>
      <c r="AT65" s="4"/>
      <c r="AV65" s="5"/>
    </row>
    <row r="66" spans="4:48" ht="15.5" customHeight="1" x14ac:dyDescent="0.45">
      <c r="D66" s="4"/>
      <c r="AT66" s="4"/>
      <c r="AV66" s="5"/>
    </row>
    <row r="67" spans="4:48" ht="15.5" customHeight="1" x14ac:dyDescent="0.45">
      <c r="D67" s="4"/>
      <c r="AT67" s="4"/>
      <c r="AV67" s="5"/>
    </row>
    <row r="68" spans="4:48" ht="15.5" customHeight="1" x14ac:dyDescent="0.45">
      <c r="D68" s="4"/>
      <c r="AT68" s="4"/>
      <c r="AV68" s="5"/>
    </row>
    <row r="69" spans="4:48" ht="15.5" customHeight="1" x14ac:dyDescent="0.45">
      <c r="D69" s="4"/>
      <c r="AT69" s="4"/>
      <c r="AV69" s="5"/>
    </row>
    <row r="70" spans="4:48" ht="15.5" customHeight="1" x14ac:dyDescent="0.45">
      <c r="D70" s="4"/>
      <c r="AT70" s="4"/>
      <c r="AV70" s="5"/>
    </row>
    <row r="71" spans="4:48" ht="15.5" customHeight="1" x14ac:dyDescent="0.45">
      <c r="D71" s="4"/>
      <c r="AT71" s="4"/>
      <c r="AV71" s="5"/>
    </row>
    <row r="72" spans="4:48" ht="15.5" customHeight="1" x14ac:dyDescent="0.45">
      <c r="D72" s="4"/>
      <c r="AT72" s="4"/>
      <c r="AV72" s="5"/>
    </row>
    <row r="73" spans="4:48" ht="15.5" customHeight="1" x14ac:dyDescent="0.45">
      <c r="D73" s="4"/>
      <c r="AT73" s="4"/>
      <c r="AV73" s="5"/>
    </row>
    <row r="74" spans="4:48" ht="15.5" customHeight="1" x14ac:dyDescent="0.45">
      <c r="D74" s="4"/>
      <c r="AT74" s="4"/>
      <c r="AV74" s="5"/>
    </row>
    <row r="75" spans="4:48" ht="15.5" customHeight="1" x14ac:dyDescent="0.45">
      <c r="D75" s="4"/>
      <c r="AT75" s="4"/>
      <c r="AV75" s="5"/>
    </row>
    <row r="76" spans="4:48" ht="15.5" customHeight="1" x14ac:dyDescent="0.45">
      <c r="D76" s="4"/>
      <c r="AT76" s="4"/>
      <c r="AV76" s="5"/>
    </row>
    <row r="77" spans="4:48" ht="15.5" customHeight="1" x14ac:dyDescent="0.45">
      <c r="D77" s="4"/>
      <c r="AT77" s="4"/>
      <c r="AV77" s="5"/>
    </row>
    <row r="78" spans="4:48" ht="15.5" customHeight="1" x14ac:dyDescent="0.45">
      <c r="D78" s="4"/>
      <c r="AT78" s="4"/>
      <c r="AV78" s="5"/>
    </row>
    <row r="79" spans="4:48" ht="15.5" customHeight="1" x14ac:dyDescent="0.45">
      <c r="D79" s="4"/>
      <c r="AT79" s="4"/>
      <c r="AV79" s="5"/>
    </row>
    <row r="80" spans="4:48" ht="15.5" customHeight="1" x14ac:dyDescent="0.45">
      <c r="D80" s="4"/>
      <c r="AT80" s="4"/>
      <c r="AV80" s="5"/>
    </row>
    <row r="81" spans="3:48" ht="15.5" customHeight="1" x14ac:dyDescent="0.45">
      <c r="D81" s="4"/>
      <c r="AT81" s="4"/>
      <c r="AV81" s="5"/>
    </row>
    <row r="82" spans="3:48" ht="15.5" customHeight="1" x14ac:dyDescent="0.45">
      <c r="D82" s="4"/>
      <c r="AT82" s="4"/>
      <c r="AV82" s="5"/>
    </row>
    <row r="83" spans="3:48" ht="15.5" customHeight="1" x14ac:dyDescent="0.45">
      <c r="D83" s="4"/>
      <c r="AT83" s="4"/>
      <c r="AV83" s="5"/>
    </row>
    <row r="84" spans="3:48" ht="15.5" customHeight="1" x14ac:dyDescent="0.45">
      <c r="D84" s="4"/>
      <c r="AT84" s="4"/>
      <c r="AV84" s="5"/>
    </row>
    <row r="85" spans="3:48" ht="15.5" customHeight="1" x14ac:dyDescent="0.45">
      <c r="D85" s="4"/>
      <c r="AT85" s="4"/>
      <c r="AV85" s="5"/>
    </row>
    <row r="86" spans="3:48" ht="15.5" customHeight="1" x14ac:dyDescent="0.45">
      <c r="D86" s="4"/>
      <c r="AT86" s="4"/>
      <c r="AV86" s="5"/>
    </row>
    <row r="87" spans="3:48" ht="15.5" customHeight="1" x14ac:dyDescent="0.45">
      <c r="D87" s="4"/>
      <c r="AT87" s="4"/>
      <c r="AV87" s="5"/>
    </row>
    <row r="88" spans="3:48" ht="15.5" customHeight="1" x14ac:dyDescent="0.45">
      <c r="D88" s="4"/>
      <c r="AT88" s="4"/>
      <c r="AV88" s="5"/>
    </row>
    <row r="89" spans="3:48" ht="15.5" customHeight="1" x14ac:dyDescent="0.45">
      <c r="C89" s="8"/>
      <c r="AT89" s="4"/>
      <c r="AV89" s="5"/>
    </row>
    <row r="90" spans="3:48" ht="15.5" customHeight="1" x14ac:dyDescent="0.45">
      <c r="C90" s="8"/>
    </row>
    <row r="91" spans="3:48" ht="15.5" customHeight="1" x14ac:dyDescent="0.45">
      <c r="C91" s="9"/>
    </row>
    <row r="92" spans="3:48" ht="15.5" customHeight="1" x14ac:dyDescent="0.45">
      <c r="C92" s="9"/>
    </row>
    <row r="93" spans="3:48" ht="15.5" customHeight="1" x14ac:dyDescent="0.45">
      <c r="C93" s="8"/>
    </row>
    <row r="94" spans="3:48" ht="15.5" customHeight="1" x14ac:dyDescent="0.45">
      <c r="C94" s="9"/>
    </row>
    <row r="95" spans="3:48" ht="15.5" customHeight="1" x14ac:dyDescent="0.45">
      <c r="C95" s="8"/>
    </row>
    <row r="96" spans="3:48" ht="15.5" customHeight="1" x14ac:dyDescent="0.45">
      <c r="C96" s="8"/>
    </row>
    <row r="97" spans="3:3" ht="15.5" customHeight="1" x14ac:dyDescent="0.45">
      <c r="C97" s="9"/>
    </row>
    <row r="98" spans="3:3" ht="15.5" customHeight="1" x14ac:dyDescent="0.45">
      <c r="C98" s="8"/>
    </row>
    <row r="99" spans="3:3" ht="15.5" customHeight="1" x14ac:dyDescent="0.45">
      <c r="C99" s="8"/>
    </row>
    <row r="100" spans="3:3" ht="15.5" customHeight="1" x14ac:dyDescent="0.45">
      <c r="C100" s="8"/>
    </row>
    <row r="101" spans="3:3" ht="15.5" customHeight="1" x14ac:dyDescent="0.45">
      <c r="C101" s="8"/>
    </row>
    <row r="102" spans="3:3" ht="15.5" customHeight="1" x14ac:dyDescent="0.45">
      <c r="C102" s="8"/>
    </row>
  </sheetData>
  <phoneticPr fontId="18" type="noConversion"/>
  <conditionalFormatting sqref="AW9">
    <cfRule type="cellIs" dxfId="2" priority="4" operator="greaterThan">
      <formula>30.5</formula>
    </cfRule>
  </conditionalFormatting>
  <conditionalFormatting sqref="AW11">
    <cfRule type="cellIs" dxfId="1" priority="3" operator="greaterThan">
      <formula>30.5</formula>
    </cfRule>
  </conditionalFormatting>
  <conditionalFormatting sqref="AW14">
    <cfRule type="cellIs" dxfId="0" priority="2" operator="greaterThan">
      <formula>30.5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30題版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KNK 02</dc:creator>
  <cp:lastModifiedBy>KNK 02</cp:lastModifiedBy>
  <dcterms:created xsi:type="dcterms:W3CDTF">2026-01-06T13:03:04Z</dcterms:created>
  <dcterms:modified xsi:type="dcterms:W3CDTF">2026-05-14T06:54:13Z</dcterms:modified>
</cp:coreProperties>
</file>